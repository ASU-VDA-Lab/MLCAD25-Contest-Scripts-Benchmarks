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3" sheetId="1" r:id="rId4"/>
    <sheet state="visible" name="team4" sheetId="2" r:id="rId5"/>
    <sheet state="visible" name="team11" sheetId="3" r:id="rId6"/>
    <sheet state="visible" name="team13" sheetId="4" r:id="rId7"/>
    <sheet state="visible" name="team20" sheetId="5" r:id="rId8"/>
    <sheet state="visible" name="team23" sheetId="6" r:id="rId9"/>
    <sheet state="visible" name="team27" sheetId="7" r:id="rId10"/>
    <sheet state="visible" name="Baseline" sheetId="8" r:id="rId11"/>
    <sheet state="visible" name="BestScores" sheetId="9" r:id="rId12"/>
    <sheet state="visible" name="runtimes" sheetId="10" r:id="rId13"/>
    <sheet state="visible" name="leaderboard" sheetId="11" r:id="rId14"/>
  </sheets>
  <definedNames/>
  <calcPr/>
</workbook>
</file>

<file path=xl/sharedStrings.xml><?xml version="1.0" encoding="utf-8"?>
<sst xmlns="http://schemas.openxmlformats.org/spreadsheetml/2006/main" count="523" uniqueCount="83">
  <si>
    <t>Evaluation Metric</t>
  </si>
  <si>
    <t>Generated</t>
  </si>
  <si>
    <t>ac97_top</t>
  </si>
  <si>
    <t>aes_cipher_top</t>
  </si>
  <si>
    <t>NV_NVDLA_partition_m</t>
  </si>
  <si>
    <t>FPU</t>
  </si>
  <si>
    <t>NV_NVDLA_partition_p</t>
  </si>
  <si>
    <t>NV_NVDLA_partition_p_mod</t>
  </si>
  <si>
    <t>NV_NVDLA_partition_c</t>
  </si>
  <si>
    <t>Hidden1</t>
  </si>
  <si>
    <t>Hidden2</t>
  </si>
  <si>
    <t>Hidden3</t>
  </si>
  <si>
    <t>Hidden4</t>
  </si>
  <si>
    <t>Hidden5</t>
  </si>
  <si>
    <t>Docker Image Generation</t>
  </si>
  <si>
    <t>Yes</t>
  </si>
  <si>
    <t>Resynth Netlist Generation</t>
  </si>
  <si>
    <t>Runtime</t>
  </si>
  <si>
    <t>GL0AM Equivalency Check</t>
  </si>
  <si>
    <t>Pass</t>
  </si>
  <si>
    <t>Runtime factor</t>
  </si>
  <si>
    <t>TNS (ns)</t>
  </si>
  <si>
    <t>Sum of slew differences (ns)</t>
  </si>
  <si>
    <t>Sum of  load differences (fF)</t>
  </si>
  <si>
    <t>Leakge power (uW)</t>
  </si>
  <si>
    <t>Congestion</t>
  </si>
  <si>
    <t>Score</t>
  </si>
  <si>
    <t>Score computation:</t>
  </si>
  <si>
    <t>TNS</t>
  </si>
  <si>
    <t>Slew</t>
  </si>
  <si>
    <t>Cap</t>
  </si>
  <si>
    <t>Power</t>
  </si>
  <si>
    <t>Error</t>
  </si>
  <si>
    <t>Runtime Issue</t>
  </si>
  <si>
    <t>Fail</t>
  </si>
  <si>
    <t>N/A</t>
  </si>
  <si>
    <t>NV_p</t>
  </si>
  <si>
    <t>Rutnime erro: mismatch in matrix dimensions o be multiplied</t>
  </si>
  <si>
    <t>pci_bridge32</t>
  </si>
  <si>
    <t>could not find gr_results.csv file in Run1 directory</t>
  </si>
  <si>
    <t>Rest</t>
  </si>
  <si>
    <t>did not produce anything in 3hrs</t>
  </si>
  <si>
    <t>GL0AM</t>
  </si>
  <si>
    <t>No</t>
  </si>
  <si>
    <t>sum</t>
  </si>
  <si>
    <t>:</t>
  </si>
  <si>
    <t>runtime</t>
  </si>
  <si>
    <t>:q</t>
  </si>
  <si>
    <t>Instances</t>
  </si>
  <si>
    <t>Clock period</t>
  </si>
  <si>
    <t>WNS (ns)</t>
  </si>
  <si>
    <t>Slew (ns)</t>
  </si>
  <si>
    <t>Slew count</t>
  </si>
  <si>
    <t>Cap (fF)</t>
  </si>
  <si>
    <t>Cap count</t>
  </si>
  <si>
    <t>Leakage Power (uW)</t>
  </si>
  <si>
    <t>fpu</t>
  </si>
  <si>
    <t>team</t>
  </si>
  <si>
    <t>Best</t>
  </si>
  <si>
    <t>Scalingto 100</t>
  </si>
  <si>
    <t>Total final score</t>
  </si>
  <si>
    <t>NV_NVDLA_partition_a</t>
  </si>
  <si>
    <t>ariane</t>
  </si>
  <si>
    <t>mempool_tile_wrap</t>
  </si>
  <si>
    <t>NV_NVDLA_partition_m_mod</t>
  </si>
  <si>
    <t>TeamId</t>
  </si>
  <si>
    <t>team3</t>
  </si>
  <si>
    <t>team4</t>
  </si>
  <si>
    <t>team11</t>
  </si>
  <si>
    <t>team13</t>
  </si>
  <si>
    <t>team20</t>
  </si>
  <si>
    <t>team23</t>
  </si>
  <si>
    <t>team27</t>
  </si>
  <si>
    <t>total</t>
  </si>
  <si>
    <t>Avg</t>
  </si>
  <si>
    <t>Rank</t>
  </si>
  <si>
    <t>Team</t>
  </si>
  <si>
    <t>Team23</t>
  </si>
  <si>
    <t>Team13</t>
  </si>
  <si>
    <t>Team27</t>
  </si>
  <si>
    <t>Design</t>
  </si>
  <si>
    <t>Top team</t>
  </si>
  <si>
    <t>Team3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</si>
</sst>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"/>
    <numFmt numFmtId="165" formatCode="0.000"/>
  </numFmts>
  <fonts count="11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11.0"/>
      <color theme="1"/>
      <name val="Arial"/>
    </font>
    <font>
      <sz val="11.0"/>
      <color theme="1"/>
      <name val="Arial"/>
      <scheme val="minor"/>
    </font>
    <font>
      <color rgb="FF434343"/>
      <name val="Arial"/>
    </font>
    <font>
      <sz val="11.0"/>
      <color rgb="FFD1D2D3"/>
      <name val="Slack-Lato"/>
    </font>
    <font>
      <color rgb="FFFF0000"/>
      <name val="Arial"/>
      <scheme val="minor"/>
    </font>
    <font>
      <b/>
      <color theme="1"/>
      <name val="Arial"/>
    </font>
    <font>
      <i/>
      <color theme="1"/>
      <name val="Arial"/>
    </font>
    <font>
      <b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  <fill>
      <patternFill patternType="solid">
        <fgColor rgb="FFE06666"/>
        <bgColor rgb="FFE06666"/>
      </patternFill>
    </fill>
    <fill>
      <patternFill patternType="solid">
        <fgColor rgb="FFB7B7B7"/>
        <bgColor rgb="FFB7B7B7"/>
      </patternFill>
    </fill>
    <fill>
      <patternFill patternType="solid">
        <fgColor rgb="FF666666"/>
        <bgColor rgb="FF666666"/>
      </patternFill>
    </fill>
    <fill>
      <patternFill patternType="solid">
        <fgColor rgb="FFB6D7A8"/>
        <bgColor rgb="FFB6D7A8"/>
      </patternFill>
    </fill>
    <fill>
      <patternFill patternType="solid">
        <fgColor rgb="FF00FF00"/>
        <bgColor rgb="FF00FF00"/>
      </patternFill>
    </fill>
    <fill>
      <patternFill patternType="solid">
        <fgColor rgb="FFD9EAD3"/>
        <bgColor rgb="FFD9EAD3"/>
      </patternFill>
    </fill>
    <fill>
      <patternFill patternType="solid">
        <fgColor rgb="FFFF9900"/>
        <bgColor rgb="FFFF9900"/>
      </patternFill>
    </fill>
  </fills>
  <borders count="11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284E3F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0" xfId="0" applyAlignment="1" applyBorder="1" applyFont="1">
      <alignment horizontal="left" readingOrder="0" shrinkToFit="0" vertical="center" wrapText="0"/>
    </xf>
    <xf borderId="0" fillId="0" fontId="2" numFmtId="0" xfId="0" applyAlignment="1" applyFont="1">
      <alignment vertical="bottom"/>
    </xf>
    <xf borderId="5" fillId="0" fontId="1" numFmtId="0" xfId="0" applyAlignment="1" applyBorder="1" applyFont="1">
      <alignment shrinkToFit="0" vertical="center" wrapText="0"/>
    </xf>
    <xf borderId="3" fillId="0" fontId="1" numFmtId="0" xfId="0" applyAlignment="1" applyBorder="1" applyFont="1">
      <alignment shrinkToFit="0" vertical="center" wrapText="0"/>
    </xf>
    <xf borderId="3" fillId="0" fontId="1" numFmtId="2" xfId="0" applyAlignment="1" applyBorder="1" applyFont="1" applyNumberFormat="1">
      <alignment shrinkToFit="0" vertical="center" wrapText="0"/>
    </xf>
    <xf borderId="6" fillId="0" fontId="1" numFmtId="0" xfId="0" applyAlignment="1" applyBorder="1" applyFont="1">
      <alignment shrinkToFit="0" vertical="center" wrapText="0"/>
    </xf>
    <xf borderId="3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3" fillId="0" fontId="1" numFmtId="2" xfId="0" applyAlignment="1" applyBorder="1" applyFont="1" applyNumberFormat="1">
      <alignment readingOrder="0" shrinkToFit="0" vertical="center" wrapText="0"/>
    </xf>
    <xf borderId="3" fillId="2" fontId="3" numFmtId="2" xfId="0" applyAlignment="1" applyBorder="1" applyFill="1" applyFont="1" applyNumberFormat="1">
      <alignment horizontal="right" shrinkToFit="0" vertical="center" wrapText="0"/>
    </xf>
    <xf borderId="3" fillId="2" fontId="3" numFmtId="2" xfId="0" applyAlignment="1" applyBorder="1" applyFont="1" applyNumberFormat="1">
      <alignment shrinkToFit="0" vertical="center" wrapText="0"/>
    </xf>
    <xf borderId="7" fillId="0" fontId="4" numFmtId="2" xfId="0" applyAlignment="1" applyBorder="1" applyFont="1" applyNumberFormat="1">
      <alignment horizontal="right" readingOrder="0" shrinkToFit="0" vertical="center" wrapText="1"/>
    </xf>
    <xf borderId="8" fillId="0" fontId="1" numFmtId="0" xfId="0" applyAlignment="1" applyBorder="1" applyFont="1">
      <alignment shrinkToFit="0" vertical="center" wrapText="0"/>
    </xf>
    <xf borderId="9" fillId="3" fontId="5" numFmtId="2" xfId="0" applyAlignment="1" applyBorder="1" applyFill="1" applyFont="1" applyNumberFormat="1">
      <alignment horizontal="right" shrinkToFit="0" vertical="center" wrapText="0"/>
    </xf>
    <xf borderId="9" fillId="3" fontId="5" numFmtId="2" xfId="0" applyAlignment="1" applyBorder="1" applyFont="1" applyNumberFormat="1">
      <alignment shrinkToFit="0" vertical="center" wrapText="0"/>
    </xf>
    <xf borderId="0" fillId="0" fontId="4" numFmtId="0" xfId="0" applyAlignment="1" applyFont="1">
      <alignment horizontal="left" readingOrder="0" shrinkToFit="0" wrapText="1"/>
    </xf>
    <xf borderId="0" fillId="0" fontId="2" numFmtId="0" xfId="0" applyAlignment="1" applyFont="1">
      <alignment readingOrder="0" vertical="bottom"/>
    </xf>
    <xf borderId="0" fillId="0" fontId="6" numFmtId="0" xfId="0" applyAlignment="1" applyFont="1">
      <alignment shrinkToFit="0" vertical="bottom" wrapText="1"/>
    </xf>
    <xf borderId="10" fillId="0" fontId="2" numFmtId="0" xfId="0" applyAlignment="1" applyBorder="1" applyFont="1">
      <alignment horizontal="right" vertical="bottom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3" fillId="0" fontId="1" numFmtId="49" xfId="0" applyAlignment="1" applyBorder="1" applyFont="1" applyNumberFormat="1">
      <alignment horizontal="left" readingOrder="0" shrinkToFit="0" vertical="center" wrapText="0"/>
    </xf>
    <xf borderId="0" fillId="0" fontId="1" numFmtId="0" xfId="0" applyAlignment="1" applyFont="1">
      <alignment shrinkToFit="0" wrapText="0"/>
    </xf>
    <xf borderId="0" fillId="0" fontId="1" numFmtId="0" xfId="0" applyAlignment="1" applyFont="1">
      <alignment readingOrder="0"/>
    </xf>
    <xf borderId="2" fillId="0" fontId="1" numFmtId="49" xfId="0" applyAlignment="1" applyBorder="1" applyFont="1" applyNumberFormat="1">
      <alignment horizontal="left" readingOrder="0" shrinkToFit="0" vertical="center" wrapText="0"/>
    </xf>
    <xf borderId="3" fillId="0" fontId="7" numFmtId="0" xfId="0" applyAlignment="1" applyBorder="1" applyFont="1">
      <alignment readingOrder="0" shrinkToFit="0" vertical="center" wrapText="0"/>
    </xf>
    <xf borderId="3" fillId="0" fontId="1" numFmtId="2" xfId="0" applyAlignment="1" applyBorder="1" applyFont="1" applyNumberFormat="1">
      <alignment shrinkToFit="0" vertical="center" wrapText="0"/>
    </xf>
    <xf borderId="3" fillId="0" fontId="1" numFmtId="0" xfId="0" applyAlignment="1" applyBorder="1" applyFont="1">
      <alignment shrinkToFit="0" vertical="center" wrapText="0"/>
    </xf>
    <xf borderId="3" fillId="0" fontId="1" numFmtId="2" xfId="0" applyAlignment="1" applyBorder="1" applyFont="1" applyNumberFormat="1">
      <alignment horizontal="right" shrinkToFit="0" vertical="center" wrapText="0"/>
    </xf>
    <xf borderId="3" fillId="0" fontId="1" numFmtId="0" xfId="0" applyAlignment="1" applyBorder="1" applyFont="1">
      <alignment horizontal="right" shrinkToFit="0" vertical="center" wrapText="0"/>
    </xf>
    <xf borderId="3" fillId="0" fontId="1" numFmtId="164" xfId="0" applyAlignment="1" applyBorder="1" applyFont="1" applyNumberFormat="1">
      <alignment shrinkToFit="0" vertical="center" wrapText="0"/>
    </xf>
    <xf borderId="3" fillId="0" fontId="1" numFmtId="164" xfId="0" applyAlignment="1" applyBorder="1" applyFont="1" applyNumberFormat="1">
      <alignment shrinkToFit="0" vertical="center" wrapText="0"/>
    </xf>
    <xf borderId="3" fillId="4" fontId="1" numFmtId="2" xfId="0" applyAlignment="1" applyBorder="1" applyFill="1" applyFont="1" applyNumberFormat="1">
      <alignment readingOrder="0" shrinkToFit="0" vertical="center" wrapText="0"/>
    </xf>
    <xf borderId="3" fillId="0" fontId="1" numFmtId="164" xfId="0" applyAlignment="1" applyBorder="1" applyFont="1" applyNumberFormat="1">
      <alignment readingOrder="0" shrinkToFit="0" vertical="center" wrapText="0"/>
    </xf>
    <xf borderId="3" fillId="2" fontId="3" numFmtId="164" xfId="0" applyAlignment="1" applyBorder="1" applyFont="1" applyNumberFormat="1">
      <alignment shrinkToFit="0" vertical="center" wrapText="0"/>
    </xf>
    <xf borderId="3" fillId="0" fontId="1" numFmtId="2" xfId="0" applyAlignment="1" applyBorder="1" applyFont="1" applyNumberFormat="1">
      <alignment readingOrder="0" shrinkToFit="0" vertical="center" wrapText="0"/>
    </xf>
    <xf borderId="3" fillId="0" fontId="1" numFmtId="164" xfId="0" applyAlignment="1" applyBorder="1" applyFont="1" applyNumberFormat="1">
      <alignment readingOrder="0" shrinkToFit="0" vertical="center" wrapText="0"/>
    </xf>
    <xf borderId="9" fillId="3" fontId="5" numFmtId="164" xfId="0" applyAlignment="1" applyBorder="1" applyFont="1" applyNumberFormat="1">
      <alignment shrinkToFit="0" vertical="center" wrapText="0"/>
    </xf>
    <xf borderId="3" fillId="0" fontId="2" numFmtId="2" xfId="0" applyAlignment="1" applyBorder="1" applyFont="1" applyNumberFormat="1">
      <alignment readingOrder="0" shrinkToFit="0" vertical="bottom" wrapText="0"/>
    </xf>
    <xf borderId="5" fillId="0" fontId="1" numFmtId="0" xfId="0" applyAlignment="1" applyBorder="1" applyFont="1">
      <alignment horizontal="center" shrinkToFit="0" vertical="center" wrapText="0"/>
    </xf>
    <xf borderId="3" fillId="0" fontId="1" numFmtId="0" xfId="0" applyAlignment="1" applyBorder="1" applyFont="1">
      <alignment horizontal="center" shrinkToFit="0" vertical="center" wrapText="0"/>
    </xf>
    <xf borderId="3" fillId="0" fontId="1" numFmtId="2" xfId="0" applyAlignment="1" applyBorder="1" applyFont="1" applyNumberFormat="1">
      <alignment horizontal="center" shrinkToFit="0" vertical="center" wrapText="0"/>
    </xf>
    <xf borderId="6" fillId="0" fontId="1" numFmtId="0" xfId="0" applyAlignment="1" applyBorder="1" applyFont="1">
      <alignment horizontal="center" shrinkToFit="0" vertical="center" wrapText="0"/>
    </xf>
    <xf borderId="3" fillId="0" fontId="1" numFmtId="0" xfId="0" applyAlignment="1" applyBorder="1" applyFont="1">
      <alignment horizontal="right" readingOrder="0" shrinkToFit="0" vertical="center" wrapText="0"/>
    </xf>
    <xf borderId="6" fillId="0" fontId="1" numFmtId="0" xfId="0" applyAlignment="1" applyBorder="1" applyFont="1">
      <alignment horizontal="center" readingOrder="0" shrinkToFit="0" vertical="center" wrapText="0"/>
    </xf>
    <xf borderId="3" fillId="0" fontId="1" numFmtId="2" xfId="0" applyAlignment="1" applyBorder="1" applyFont="1" applyNumberFormat="1">
      <alignment horizontal="right" readingOrder="0" shrinkToFit="0" vertical="center" wrapText="0"/>
    </xf>
    <xf borderId="3" fillId="0" fontId="2" numFmtId="2" xfId="0" applyAlignment="1" applyBorder="1" applyFont="1" applyNumberFormat="1">
      <alignment horizontal="right" readingOrder="0" shrinkToFit="0" vertical="bottom" wrapText="0"/>
    </xf>
    <xf borderId="8" fillId="0" fontId="1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1" numFmtId="0" xfId="0" applyFont="1"/>
    <xf borderId="0" fillId="0" fontId="1" numFmtId="0" xfId="0" applyAlignment="1" applyFont="1">
      <alignment readingOrder="0"/>
    </xf>
    <xf borderId="3" fillId="0" fontId="1" numFmtId="2" xfId="0" applyAlignment="1" applyBorder="1" applyFont="1" applyNumberFormat="1">
      <alignment readingOrder="0"/>
    </xf>
    <xf borderId="0" fillId="0" fontId="2" numFmtId="0" xfId="0" applyAlignment="1" applyFont="1">
      <alignment horizontal="right" vertical="bottom"/>
    </xf>
    <xf borderId="0" fillId="0" fontId="1" numFmtId="0" xfId="0" applyAlignment="1" applyFont="1">
      <alignment readingOrder="0" shrinkToFit="0" wrapText="0"/>
    </xf>
    <xf borderId="0" fillId="0" fontId="1" numFmtId="0" xfId="0" applyFont="1"/>
    <xf borderId="0" fillId="0" fontId="1" numFmtId="2" xfId="0" applyAlignment="1" applyFont="1" applyNumberFormat="1">
      <alignment readingOrder="0"/>
    </xf>
    <xf borderId="0" fillId="0" fontId="1" numFmtId="2" xfId="0" applyAlignment="1" applyFont="1" applyNumberFormat="1">
      <alignment readingOrder="0"/>
    </xf>
    <xf borderId="0" fillId="0" fontId="8" numFmtId="0" xfId="0" applyAlignment="1" applyFont="1">
      <alignment vertical="bottom"/>
    </xf>
    <xf borderId="0" fillId="0" fontId="8" numFmtId="0" xfId="0" applyAlignment="1" applyFont="1">
      <alignment readingOrder="0" vertical="bottom"/>
    </xf>
    <xf borderId="0" fillId="5" fontId="8" numFmtId="0" xfId="0" applyAlignment="1" applyFill="1" applyFont="1">
      <alignment readingOrder="0" vertical="bottom"/>
    </xf>
    <xf borderId="0" fillId="0" fontId="2" numFmtId="0" xfId="0" applyAlignment="1" applyFont="1">
      <alignment horizontal="left" vertical="bottom"/>
    </xf>
    <xf borderId="0" fillId="0" fontId="2" numFmtId="2" xfId="0" applyAlignment="1" applyFont="1" applyNumberFormat="1">
      <alignment horizontal="right" vertical="bottom"/>
    </xf>
    <xf borderId="0" fillId="0" fontId="8" numFmtId="2" xfId="0" applyAlignment="1" applyFont="1" applyNumberFormat="1">
      <alignment vertical="bottom"/>
    </xf>
    <xf borderId="0" fillId="0" fontId="2" numFmtId="2" xfId="0" applyAlignment="1" applyFont="1" applyNumberFormat="1">
      <alignment vertical="bottom"/>
    </xf>
    <xf borderId="0" fillId="0" fontId="2" numFmtId="0" xfId="0" applyAlignment="1" applyFont="1">
      <alignment horizontal="left" readingOrder="0" vertical="bottom"/>
    </xf>
    <xf borderId="0" fillId="0" fontId="8" numFmtId="2" xfId="0" applyAlignment="1" applyFont="1" applyNumberFormat="1">
      <alignment horizontal="right" vertical="bottom"/>
    </xf>
    <xf borderId="0" fillId="0" fontId="9" numFmtId="0" xfId="0" applyAlignment="1" applyFont="1">
      <alignment readingOrder="0" vertical="bottom"/>
    </xf>
    <xf borderId="0" fillId="0" fontId="9" numFmtId="2" xfId="0" applyAlignment="1" applyFont="1" applyNumberFormat="1">
      <alignment vertical="bottom"/>
    </xf>
    <xf borderId="0" fillId="0" fontId="9" numFmtId="0" xfId="0" applyAlignment="1" applyFont="1">
      <alignment vertical="bottom"/>
    </xf>
    <xf borderId="0" fillId="0" fontId="8" numFmtId="0" xfId="0" applyAlignment="1" applyFont="1">
      <alignment readingOrder="0" vertical="bottom"/>
    </xf>
    <xf borderId="0" fillId="0" fontId="8" numFmtId="0" xfId="0" applyAlignment="1" applyFont="1">
      <alignment horizontal="left" vertical="bottom"/>
    </xf>
    <xf borderId="0" fillId="0" fontId="2" numFmtId="165" xfId="0" applyAlignment="1" applyFont="1" applyNumberFormat="1">
      <alignment horizontal="right" vertical="bottom"/>
    </xf>
    <xf borderId="0" fillId="0" fontId="2" numFmtId="164" xfId="0" applyAlignment="1" applyFont="1" applyNumberFormat="1">
      <alignment vertical="bottom"/>
    </xf>
    <xf borderId="0" fillId="0" fontId="8" numFmtId="0" xfId="0" applyAlignment="1" applyFont="1">
      <alignment horizontal="left" readingOrder="0" vertical="bottom"/>
    </xf>
    <xf borderId="0" fillId="6" fontId="2" numFmtId="165" xfId="0" applyAlignment="1" applyFill="1" applyFont="1" applyNumberFormat="1">
      <alignment horizontal="right" readingOrder="0" vertical="bottom"/>
    </xf>
    <xf borderId="0" fillId="7" fontId="2" numFmtId="164" xfId="0" applyAlignment="1" applyFill="1" applyFont="1" applyNumberFormat="1">
      <alignment vertical="bottom"/>
    </xf>
    <xf borderId="0" fillId="8" fontId="2" numFmtId="164" xfId="0" applyAlignment="1" applyFill="1" applyFont="1" applyNumberFormat="1">
      <alignment vertical="bottom"/>
    </xf>
    <xf borderId="0" fillId="9" fontId="2" numFmtId="164" xfId="0" applyAlignment="1" applyFill="1" applyFont="1" applyNumberFormat="1">
      <alignment vertical="bottom"/>
    </xf>
    <xf borderId="0" fillId="5" fontId="8" numFmtId="0" xfId="0" applyAlignment="1" applyFont="1">
      <alignment readingOrder="0" vertical="bottom"/>
    </xf>
    <xf borderId="0" fillId="10" fontId="2" numFmtId="0" xfId="0" applyAlignment="1" applyFill="1" applyFont="1">
      <alignment readingOrder="0" vertical="bottom"/>
    </xf>
    <xf borderId="0" fillId="10" fontId="2" numFmtId="0" xfId="0" applyAlignment="1" applyFont="1">
      <alignment vertical="bottom"/>
    </xf>
    <xf borderId="0" fillId="10" fontId="2" numFmtId="164" xfId="0" applyAlignment="1" applyFont="1" applyNumberFormat="1">
      <alignment vertical="bottom"/>
    </xf>
    <xf borderId="0" fillId="0" fontId="1" numFmtId="0" xfId="0" applyAlignment="1" applyFont="1">
      <alignment readingOrder="0"/>
    </xf>
    <xf borderId="3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3" fillId="0" fontId="1" numFmtId="0" xfId="0" applyAlignment="1" applyBorder="1" applyFont="1">
      <alignment readingOrder="0"/>
    </xf>
    <xf borderId="3" fillId="0" fontId="1" numFmtId="2" xfId="0" applyAlignment="1" applyBorder="1" applyFont="1" applyNumberFormat="1">
      <alignment horizontal="right" readingOrder="0"/>
    </xf>
    <xf borderId="3" fillId="0" fontId="1" numFmtId="0" xfId="0" applyAlignment="1" applyBorder="1" applyFont="1">
      <alignment horizontal="right" readingOrder="0"/>
    </xf>
    <xf borderId="0" fillId="0" fontId="1" numFmtId="2" xfId="0" applyFont="1" applyNumberFormat="1"/>
    <xf borderId="0" fillId="0" fontId="10" numFmtId="0" xfId="0" applyAlignment="1" applyFon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0">
    <tableStyle count="3" pivot="0" name="team3-style">
      <tableStyleElement dxfId="1" type="headerRow"/>
      <tableStyleElement dxfId="2" type="firstRowStripe"/>
      <tableStyleElement dxfId="3" type="secondRowStripe"/>
    </tableStyle>
    <tableStyle count="3" pivot="0" name="team4-style">
      <tableStyleElement dxfId="1" type="headerRow"/>
      <tableStyleElement dxfId="2" type="firstRowStripe"/>
      <tableStyleElement dxfId="3" type="secondRowStripe"/>
    </tableStyle>
    <tableStyle count="3" pivot="0" name="team11-style">
      <tableStyleElement dxfId="1" type="headerRow"/>
      <tableStyleElement dxfId="2" type="firstRowStripe"/>
      <tableStyleElement dxfId="3" type="secondRowStripe"/>
    </tableStyle>
    <tableStyle count="3" pivot="0" name="team13-style">
      <tableStyleElement dxfId="1" type="headerRow"/>
      <tableStyleElement dxfId="2" type="firstRowStripe"/>
      <tableStyleElement dxfId="3" type="secondRowStripe"/>
    </tableStyle>
    <tableStyle count="3" pivot="0" name="team20-style">
      <tableStyleElement dxfId="1" type="headerRow"/>
      <tableStyleElement dxfId="2" type="firstRowStripe"/>
      <tableStyleElement dxfId="3" type="secondRowStripe"/>
    </tableStyle>
    <tableStyle count="3" pivot="0" name="team23-style">
      <tableStyleElement dxfId="1" type="headerRow"/>
      <tableStyleElement dxfId="2" type="firstRowStripe"/>
      <tableStyleElement dxfId="3" type="secondRowStripe"/>
    </tableStyle>
    <tableStyle count="2" pivot="0" name="team23-style 2">
      <tableStyleElement dxfId="3" type="firstRowStripe"/>
      <tableStyleElement dxfId="2" type="secondRowStripe"/>
    </tableStyle>
    <tableStyle count="3" pivot="0" name="team27-style">
      <tableStyleElement dxfId="1" type="headerRow"/>
      <tableStyleElement dxfId="2" type="firstRowStripe"/>
      <tableStyleElement dxfId="3" type="secondRowStripe"/>
    </tableStyle>
    <tableStyle count="2" pivot="0" name="Baseline-style">
      <tableStyleElement dxfId="3" type="firstRowStripe"/>
      <tableStyleElement dxfId="2" type="secondRowStripe"/>
    </tableStyle>
    <tableStyle count="2" pivot="0" name="runtimes-style"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N13" displayName="Table1" name="Table1" id="1">
  <tableColumns count="14">
    <tableColumn name="Evaluation Metric" id="1"/>
    <tableColumn name="Generated" id="2"/>
    <tableColumn name="ac97_top" id="3"/>
    <tableColumn name="aes_cipher_top" id="4"/>
    <tableColumn name="NV_NVDLA_partition_m" id="5"/>
    <tableColumn name="FPU" id="6"/>
    <tableColumn name="NV_NVDLA_partition_p" id="7"/>
    <tableColumn name="NV_NVDLA_partition_p_mod" id="8"/>
    <tableColumn name="NV_NVDLA_partition_c" id="9"/>
    <tableColumn name="Hidden1" id="10"/>
    <tableColumn name="Hidden2" id="11"/>
    <tableColumn name="Hidden3" id="12"/>
    <tableColumn name="Hidden4" id="13"/>
    <tableColumn name="Hidden5" id="14"/>
  </tableColumns>
  <tableStyleInfo name="team3-style" showColumnStripes="0" showFirstColumn="1" showLastColumn="1" showRowStripes="1"/>
</table>
</file>

<file path=xl/tables/table2.xml><?xml version="1.0" encoding="utf-8"?>
<table xmlns="http://schemas.openxmlformats.org/spreadsheetml/2006/main" ref="A1:N13" displayName="Table5" name="Table5" id="2">
  <tableColumns count="14">
    <tableColumn name="Evaluation Metric" id="1"/>
    <tableColumn name="Generated" id="2"/>
    <tableColumn name="ac97_top" id="3"/>
    <tableColumn name="aes_cipher_top" id="4"/>
    <tableColumn name="NV_NVDLA_partition_m" id="5"/>
    <tableColumn name="FPU" id="6"/>
    <tableColumn name="NV_NVDLA_partition_p" id="7"/>
    <tableColumn name="NV_NVDLA_partition_p_mod" id="8"/>
    <tableColumn name="NV_NVDLA_partition_c" id="9"/>
    <tableColumn name="Hidden1" id="10"/>
    <tableColumn name="Hidden2" id="11"/>
    <tableColumn name="Hidden3" id="12"/>
    <tableColumn name="Hidden4" id="13"/>
    <tableColumn name="Hidden5" id="14"/>
  </tableColumns>
  <tableStyleInfo name="team4-style" showColumnStripes="0" showFirstColumn="1" showLastColumn="1" showRowStripes="1"/>
</table>
</file>

<file path=xl/tables/table3.xml><?xml version="1.0" encoding="utf-8"?>
<table xmlns="http://schemas.openxmlformats.org/spreadsheetml/2006/main" ref="A1:N13" displayName="Table8" name="Table8" id="3">
  <tableColumns count="14">
    <tableColumn name="Evaluation Metric" id="1"/>
    <tableColumn name="Generated" id="2"/>
    <tableColumn name="ac97_top" id="3"/>
    <tableColumn name="aes_cipher_top" id="4"/>
    <tableColumn name="NV_NVDLA_partition_m" id="5"/>
    <tableColumn name="FPU" id="6"/>
    <tableColumn name="NV_NVDLA_partition_p" id="7"/>
    <tableColumn name="NV_NVDLA_partition_c" id="8"/>
    <tableColumn name="NV_NVDLA_partition_p_mod" id="9"/>
    <tableColumn name="Hidden1" id="10"/>
    <tableColumn name="Hidden2" id="11"/>
    <tableColumn name="Hidden3" id="12"/>
    <tableColumn name="Hidden4" id="13"/>
    <tableColumn name="Hidden5" id="14"/>
  </tableColumns>
  <tableStyleInfo name="team11-style" showColumnStripes="0" showFirstColumn="1" showLastColumn="1" showRowStripes="1"/>
</table>
</file>

<file path=xl/tables/table4.xml><?xml version="1.0" encoding="utf-8"?>
<table xmlns="http://schemas.openxmlformats.org/spreadsheetml/2006/main" ref="A1:N13" displayName="Table7" name="Table7" id="4">
  <tableColumns count="14">
    <tableColumn name="Evaluation Metric" id="1"/>
    <tableColumn name="Generated" id="2"/>
    <tableColumn name="ac97_top" id="3"/>
    <tableColumn name="aes_cipher_top" id="4"/>
    <tableColumn name="NV_NVDLA_partition_m" id="5"/>
    <tableColumn name="FPU" id="6"/>
    <tableColumn name="NV_NVDLA_partition_p" id="7"/>
    <tableColumn name="NV_NVDLA_partition_p_mod" id="8"/>
    <tableColumn name="NV_NVDLA_partition_c" id="9"/>
    <tableColumn name="Hidden1" id="10"/>
    <tableColumn name="Hidden2" id="11"/>
    <tableColumn name="Hidden3" id="12"/>
    <tableColumn name="Hidden4" id="13"/>
    <tableColumn name="Hidden5" id="14"/>
  </tableColumns>
  <tableStyleInfo name="team13-style" showColumnStripes="0" showFirstColumn="1" showLastColumn="1" showRowStripes="1"/>
</table>
</file>

<file path=xl/tables/table5.xml><?xml version="1.0" encoding="utf-8"?>
<table xmlns="http://schemas.openxmlformats.org/spreadsheetml/2006/main" ref="A1:N13" displayName="Table2" name="Table2" id="5">
  <tableColumns count="14">
    <tableColumn name="Evaluation Metric" id="1"/>
    <tableColumn name="Generated" id="2"/>
    <tableColumn name="ac97_top" id="3"/>
    <tableColumn name="aes_cipher_top" id="4"/>
    <tableColumn name="NV_NVDLA_partition_m" id="5"/>
    <tableColumn name="FPU" id="6"/>
    <tableColumn name="NV_NVDLA_partition_p" id="7"/>
    <tableColumn name="NV_NVDLA_partition_p_mod" id="8"/>
    <tableColumn name="NV_NVDLA_partition_c" id="9"/>
    <tableColumn name="Hidden1" id="10"/>
    <tableColumn name="Hidden2" id="11"/>
    <tableColumn name="Hidden3" id="12"/>
    <tableColumn name="Hidden4" id="13"/>
    <tableColumn name="Hidden5" id="14"/>
  </tableColumns>
  <tableStyleInfo name="team20-style" showColumnStripes="0" showFirstColumn="1" showLastColumn="1" showRowStripes="1"/>
</table>
</file>

<file path=xl/tables/table6.xml><?xml version="1.0" encoding="utf-8"?>
<table xmlns="http://schemas.openxmlformats.org/spreadsheetml/2006/main" ref="A1:N13" displayName="Table3" name="Table3" id="6">
  <tableColumns count="14">
    <tableColumn name="Evaluation Metric" id="1"/>
    <tableColumn name="Generated" id="2"/>
    <tableColumn name="ac97_top" id="3"/>
    <tableColumn name="aes_cipher_top" id="4"/>
    <tableColumn name="NV_NVDLA_partition_m" id="5"/>
    <tableColumn name="FPU" id="6"/>
    <tableColumn name="NV_NVDLA_partition_p" id="7"/>
    <tableColumn name="NV_NVDLA_partition_p_mod" id="8"/>
    <tableColumn name="NV_NVDLA_partition_c" id="9"/>
    <tableColumn name="Hidden1" id="10"/>
    <tableColumn name="Hidden2" id="11"/>
    <tableColumn name="Hidden3" id="12"/>
    <tableColumn name="Hidden4" id="13"/>
    <tableColumn name="Hidden5" id="14"/>
  </tableColumns>
  <tableStyleInfo name="team23-style" showColumnStripes="0" showFirstColumn="1" showLastColumn="1" showRowStripes="1"/>
</table>
</file>

<file path=xl/tables/table7.xml><?xml version="1.0" encoding="utf-8"?>
<table xmlns="http://schemas.openxmlformats.org/spreadsheetml/2006/main" headerRowCount="0" ref="B48:L48" displayName="Table_1" name="Table_1" id="7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team23-style 2" showColumnStripes="0" showFirstColumn="1" showLastColumn="1" showRowStripes="1"/>
</table>
</file>

<file path=xl/tables/table8.xml><?xml version="1.0" encoding="utf-8"?>
<table xmlns="http://schemas.openxmlformats.org/spreadsheetml/2006/main" ref="A1:N13" displayName="Table4" name="Table4" id="8">
  <tableColumns count="14">
    <tableColumn name="Evaluation Metric" id="1"/>
    <tableColumn name="Generated" id="2"/>
    <tableColumn name="ac97_top" id="3"/>
    <tableColumn name="aes_cipher_top" id="4"/>
    <tableColumn name="NV_NVDLA_partition_m" id="5"/>
    <tableColumn name="FPU" id="6"/>
    <tableColumn name="NV_NVDLA_partition_p" id="7"/>
    <tableColumn name="NV_NVDLA_partition_p_mod" id="8"/>
    <tableColumn name="NV_NVDLA_partition_c" id="9"/>
    <tableColumn name="Hidden1" id="10"/>
    <tableColumn name="Hidden2" id="11"/>
    <tableColumn name="Hidden3" id="12"/>
    <tableColumn name="Hidden4" id="13"/>
    <tableColumn name="Hidden5" id="14"/>
  </tableColumns>
  <tableStyleInfo name="team27-style" showColumnStripes="0" showFirstColumn="1" showLastColumn="1" showRowStripes="1"/>
</table>
</file>

<file path=xl/tables/table9.xml><?xml version="1.0" encoding="utf-8"?>
<table xmlns="http://schemas.openxmlformats.org/spreadsheetml/2006/main" headerRowCount="0" ref="A25:L26" displayName="Table_2" name="Table_2" id="9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aseline-style" showColumnStripes="0" showFirstColumn="1" showLastColumn="1" showRowStripes="1"/>
</table>
</file>

<file path=xl/tables/table10.xml><?xml version="1.0" encoding="utf-8"?>
<table xmlns="http://schemas.openxmlformats.org/spreadsheetml/2006/main" headerRowCount="0" ref="B2:M8" displayName="Table_3" name="Table_3" id="10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runtim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4" Type="http://schemas.openxmlformats.org/officeDocument/2006/relationships/table" Target="../tables/table6.xml"/><Relationship Id="rId5" Type="http://schemas.openxmlformats.org/officeDocument/2006/relationships/table" Target="../tables/table7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8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9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88"/>
    <col customWidth="1" min="5" max="5" width="21.75"/>
    <col customWidth="1" min="6" max="6" width="11.75"/>
    <col customWidth="1" min="7" max="7" width="21.88"/>
    <col customWidth="1" min="8" max="8" width="26.13"/>
    <col customWidth="1" min="9" max="9" width="23.13"/>
    <col customWidth="1" min="10" max="10" width="16.63"/>
    <col customWidth="1" min="11" max="11" width="23.25"/>
    <col customWidth="1" min="14" max="14" width="25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4" t="s">
        <v>11</v>
      </c>
      <c r="M1" s="3" t="s">
        <v>12</v>
      </c>
      <c r="N1" s="5" t="s">
        <v>13</v>
      </c>
      <c r="O1" s="6"/>
    </row>
    <row r="2">
      <c r="A2" s="7" t="s">
        <v>14</v>
      </c>
      <c r="B2" s="8" t="s">
        <v>15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6"/>
    </row>
    <row r="3">
      <c r="A3" s="10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6"/>
    </row>
    <row r="4">
      <c r="A4" s="7" t="s">
        <v>16</v>
      </c>
      <c r="B4" s="8"/>
      <c r="C4" s="9" t="s">
        <v>15</v>
      </c>
      <c r="D4" s="9" t="s">
        <v>15</v>
      </c>
      <c r="E4" s="9" t="s">
        <v>15</v>
      </c>
      <c r="F4" s="11" t="s">
        <v>15</v>
      </c>
      <c r="G4" s="9" t="s">
        <v>15</v>
      </c>
      <c r="H4" s="11" t="s">
        <v>15</v>
      </c>
      <c r="I4" s="9" t="s">
        <v>15</v>
      </c>
      <c r="J4" s="9" t="s">
        <v>15</v>
      </c>
      <c r="K4" s="9" t="s">
        <v>15</v>
      </c>
      <c r="L4" s="8" t="s">
        <v>15</v>
      </c>
      <c r="M4" s="8" t="s">
        <v>15</v>
      </c>
      <c r="N4" s="11" t="s">
        <v>15</v>
      </c>
      <c r="O4" s="6"/>
    </row>
    <row r="5">
      <c r="A5" s="12" t="s">
        <v>17</v>
      </c>
      <c r="B5" s="8"/>
      <c r="C5" s="13">
        <v>6.0</v>
      </c>
      <c r="D5" s="13">
        <v>6.0</v>
      </c>
      <c r="E5" s="13">
        <v>7.0</v>
      </c>
      <c r="F5" s="13">
        <v>6.0</v>
      </c>
      <c r="G5" s="13">
        <v>7.0</v>
      </c>
      <c r="H5" s="13">
        <v>8.0</v>
      </c>
      <c r="I5" s="13">
        <v>13.0</v>
      </c>
      <c r="J5" s="13">
        <v>6.0</v>
      </c>
      <c r="K5" s="13">
        <v>6.0</v>
      </c>
      <c r="L5" s="13">
        <v>10.0</v>
      </c>
      <c r="M5" s="13">
        <v>13.0</v>
      </c>
      <c r="N5" s="13">
        <v>6.0</v>
      </c>
      <c r="O5" s="6"/>
    </row>
    <row r="6">
      <c r="A6" s="7" t="s">
        <v>18</v>
      </c>
      <c r="B6" s="8"/>
      <c r="C6" s="11" t="s">
        <v>19</v>
      </c>
      <c r="D6" s="11" t="s">
        <v>19</v>
      </c>
      <c r="E6" s="11" t="s">
        <v>19</v>
      </c>
      <c r="F6" s="11" t="s">
        <v>19</v>
      </c>
      <c r="G6" s="11" t="s">
        <v>19</v>
      </c>
      <c r="H6" s="11" t="s">
        <v>19</v>
      </c>
      <c r="I6" s="11" t="s">
        <v>19</v>
      </c>
      <c r="J6" s="11" t="s">
        <v>19</v>
      </c>
      <c r="K6" s="11" t="s">
        <v>19</v>
      </c>
      <c r="L6" s="11" t="s">
        <v>19</v>
      </c>
      <c r="M6" s="11" t="s">
        <v>19</v>
      </c>
      <c r="N6" s="11" t="s">
        <v>19</v>
      </c>
      <c r="O6" s="6"/>
    </row>
    <row r="7">
      <c r="A7" s="12" t="s">
        <v>20</v>
      </c>
      <c r="B7" s="8"/>
      <c r="C7" s="14">
        <f>1 + MIN(0.2, MAX(-0.2, 0.02*LOG(C5 / runtimes!B10, 2)))</f>
        <v>0.83933154</v>
      </c>
      <c r="D7" s="14">
        <f>1 + MIN(0.2, MAX(-0.2, 0.02*LOG(D5 / runtimes!C10, 2)))</f>
        <v>0.8385095243</v>
      </c>
      <c r="E7" s="14">
        <f>1 + MIN(0.2, MAX(-0.2, 0.02*LOG(E5 / runtimes!D10, 2)))</f>
        <v>0.9101934875</v>
      </c>
      <c r="F7" s="14">
        <f>1 + MIN(0.2, MAX(-0.2, 0.02*LOG(F5 / runtimes!E10, 2)))</f>
        <v>0.8270368436</v>
      </c>
      <c r="G7" s="14">
        <f>1 + MIN(0.2, MAX(-0.2, 0.02*LOG(G5 / runtimes!F10, 2)))</f>
        <v>0.8664775001</v>
      </c>
      <c r="H7" s="15">
        <f>1 + MIN(0.2, MAX(-0.2, 0.02*LOG(H5 / runtimes!G10, 2)))</f>
        <v>0.8449892097</v>
      </c>
      <c r="I7" s="14">
        <f>1 + MIN(0.2, MAX(-0.2, 0.02*LOG(I5 / runtimes!H10, 2)))</f>
        <v>0.8331448302</v>
      </c>
      <c r="J7" s="14">
        <f>1 + MIN(0.2, MAX(-0.2, 0.02*LOG(J5 / runtimes!I10, 2)))</f>
        <v>0.8362722119</v>
      </c>
      <c r="K7" s="14">
        <f>1 + MIN(0.2, MAX(-0.2, 0.02*LOG(K5 / runtimes!J10, 2)))</f>
        <v>0.8442375971</v>
      </c>
      <c r="L7" s="14">
        <f>1 + MIN(0.2, MAX(-0.2, 0.02*LOG(L5 / runtimes!K10, 2)))</f>
        <v>0.8259167394</v>
      </c>
      <c r="M7" s="14">
        <f>1 + MIN(0.2, MAX(-0.2, 0.02*LOG(M5 / runtimes!L10, 2)))</f>
        <v>0.8594220443</v>
      </c>
      <c r="N7" s="15">
        <f>1 + MIN(0.2, MAX(-0.2, 0.02*LOG(N5 / runtimes!M10, 2)))</f>
        <v>0.8997903703</v>
      </c>
      <c r="O7" s="6"/>
    </row>
    <row r="8">
      <c r="A8" s="7" t="s">
        <v>21</v>
      </c>
      <c r="B8" s="8"/>
      <c r="C8" s="13">
        <v>-17.82511</v>
      </c>
      <c r="D8" s="13">
        <v>-18.2837</v>
      </c>
      <c r="E8" s="13">
        <v>-11.90621</v>
      </c>
      <c r="F8" s="13">
        <v>-59.3346</v>
      </c>
      <c r="G8" s="13">
        <v>-669.74619</v>
      </c>
      <c r="H8" s="13">
        <v>-369.34425</v>
      </c>
      <c r="I8" s="13">
        <v>-19.31633</v>
      </c>
      <c r="J8" s="13">
        <v>-0.42278</v>
      </c>
      <c r="K8" s="13">
        <v>-139.50494</v>
      </c>
      <c r="L8" s="16">
        <v>-1326.203</v>
      </c>
      <c r="M8" s="13">
        <v>-7988.5905</v>
      </c>
      <c r="N8" s="13">
        <v>-7.30378</v>
      </c>
      <c r="O8" s="6"/>
    </row>
    <row r="9">
      <c r="A9" s="10" t="s">
        <v>22</v>
      </c>
      <c r="B9" s="8"/>
      <c r="C9" s="13">
        <v>0.368707342435214</v>
      </c>
      <c r="D9" s="13">
        <v>7.5348240702322</v>
      </c>
      <c r="E9" s="13">
        <v>50.6915748543779</v>
      </c>
      <c r="F9" s="13">
        <v>21.3263545156827</v>
      </c>
      <c r="G9" s="13">
        <v>1273.46094244695</v>
      </c>
      <c r="H9" s="13">
        <v>1223.18543574473</v>
      </c>
      <c r="I9" s="13">
        <v>19045.0005087828</v>
      </c>
      <c r="J9" s="13">
        <v>1.7877397617827</v>
      </c>
      <c r="K9" s="13">
        <v>5432.47257248077</v>
      </c>
      <c r="L9" s="13">
        <v>17062.3362829859</v>
      </c>
      <c r="M9" s="13">
        <v>1893.00648459345</v>
      </c>
      <c r="N9" s="13">
        <v>41.7311873113224</v>
      </c>
      <c r="O9" s="6"/>
    </row>
    <row r="10">
      <c r="A10" s="7" t="s">
        <v>23</v>
      </c>
      <c r="B10" s="8"/>
      <c r="C10" s="13">
        <v>0.0</v>
      </c>
      <c r="D10" s="13">
        <v>6.58935728789326</v>
      </c>
      <c r="E10" s="13">
        <v>344.926903472807</v>
      </c>
      <c r="F10" s="13">
        <v>4.54601566351846</v>
      </c>
      <c r="G10" s="13">
        <v>7629.90706856467</v>
      </c>
      <c r="H10" s="13">
        <v>7493.13621642032</v>
      </c>
      <c r="I10" s="13">
        <v>67122.4987924661</v>
      </c>
      <c r="J10" s="13">
        <v>0.0</v>
      </c>
      <c r="K10" s="13">
        <v>8230.20576081639</v>
      </c>
      <c r="L10" s="13">
        <v>18176.5595498297</v>
      </c>
      <c r="M10" s="13">
        <v>1161.81373637609</v>
      </c>
      <c r="N10" s="13">
        <v>298.253649967487</v>
      </c>
      <c r="O10" s="6"/>
    </row>
    <row r="11">
      <c r="A11" s="10" t="s">
        <v>24</v>
      </c>
      <c r="B11" s="8"/>
      <c r="C11" s="13">
        <v>82.7931132626521</v>
      </c>
      <c r="D11" s="13">
        <v>29.7625674210433</v>
      </c>
      <c r="E11" s="13">
        <v>161.323203656729</v>
      </c>
      <c r="F11" s="13">
        <v>19.2538652147647</v>
      </c>
      <c r="G11" s="13">
        <v>585.401698430219</v>
      </c>
      <c r="H11" s="13">
        <v>584.978943800546</v>
      </c>
      <c r="I11" s="13">
        <v>18101.8740517836</v>
      </c>
      <c r="J11" s="13">
        <v>52.8971124710765</v>
      </c>
      <c r="K11" s="13">
        <v>347.664719747708</v>
      </c>
      <c r="L11" s="13">
        <v>17539.1064409357</v>
      </c>
      <c r="M11" s="13">
        <v>3146.74220320719</v>
      </c>
      <c r="N11" s="13">
        <v>129.580456498263</v>
      </c>
      <c r="O11" s="6"/>
    </row>
    <row r="12">
      <c r="A12" s="7" t="s">
        <v>25</v>
      </c>
      <c r="B12" s="8"/>
      <c r="C12" s="13">
        <v>0.0</v>
      </c>
      <c r="D12" s="13">
        <v>0.0</v>
      </c>
      <c r="E12" s="13">
        <v>0.0</v>
      </c>
      <c r="F12" s="13">
        <v>0.0</v>
      </c>
      <c r="G12" s="13">
        <v>0.0</v>
      </c>
      <c r="H12" s="13">
        <v>0.0</v>
      </c>
      <c r="I12" s="13">
        <v>0.0</v>
      </c>
      <c r="J12" s="13">
        <v>0.0</v>
      </c>
      <c r="K12" s="13">
        <v>0.0</v>
      </c>
      <c r="L12" s="13">
        <v>0.0</v>
      </c>
      <c r="M12" s="13">
        <v>0.0</v>
      </c>
      <c r="N12" s="13">
        <v>0.0</v>
      </c>
      <c r="O12" s="6"/>
    </row>
    <row r="13">
      <c r="A13" s="17" t="s">
        <v>26</v>
      </c>
      <c r="B13" s="8"/>
      <c r="C13" s="18">
        <f t="shared" ref="C13:N13" si="1">SUM(C18:C22)*C7</f>
        <v>21.4146427</v>
      </c>
      <c r="D13" s="18">
        <f t="shared" si="1"/>
        <v>38.67860331</v>
      </c>
      <c r="E13" s="18">
        <f t="shared" si="1"/>
        <v>45.1486398</v>
      </c>
      <c r="F13" s="18">
        <f t="shared" si="1"/>
        <v>40.46868902</v>
      </c>
      <c r="G13" s="18">
        <f t="shared" si="1"/>
        <v>41.75250588</v>
      </c>
      <c r="H13" s="19">
        <f t="shared" si="1"/>
        <v>42.9918771</v>
      </c>
      <c r="I13" s="18">
        <f t="shared" si="1"/>
        <v>41.31524113</v>
      </c>
      <c r="J13" s="18">
        <f t="shared" si="1"/>
        <v>25.92443857</v>
      </c>
      <c r="K13" s="18">
        <f t="shared" si="1"/>
        <v>43.45381346</v>
      </c>
      <c r="L13" s="18">
        <f t="shared" si="1"/>
        <v>36.72924665</v>
      </c>
      <c r="M13" s="18">
        <f t="shared" si="1"/>
        <v>36.70108508</v>
      </c>
      <c r="N13" s="18">
        <f t="shared" si="1"/>
        <v>45.88930889</v>
      </c>
      <c r="O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</row>
    <row r="17">
      <c r="A17" s="21" t="s">
        <v>27</v>
      </c>
      <c r="B17" s="6"/>
      <c r="C17" s="6"/>
      <c r="D17" s="6"/>
      <c r="E17" s="6"/>
      <c r="F17" s="6"/>
      <c r="G17" s="6"/>
      <c r="H17" s="6"/>
      <c r="I17" s="6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</row>
    <row r="18">
      <c r="A18" s="6"/>
      <c r="B18" s="6" t="s">
        <v>28</v>
      </c>
      <c r="C18" s="23">
        <f>IF(C8&gt;=0, 0, ABS((C8/Baseline!E2))*10)</f>
        <v>9.946270939</v>
      </c>
      <c r="D18" s="23">
        <f>IF(D8&gt;=0, 0, ABS((D8/Baseline!E3)*10))</f>
        <v>9.701788737</v>
      </c>
      <c r="E18" s="23">
        <f>IF(E8&gt;=0, 0, ABS((E8/Baseline!E4)*10))</f>
        <v>10.0000084</v>
      </c>
      <c r="F18" s="23">
        <f>IF(F8&gt;=0, 0, ABS((F8/Baseline!E5)*10))</f>
        <v>10</v>
      </c>
      <c r="G18" s="23">
        <f>IF(G8&gt;=0, 0, ABS((G8/Baseline!E6)*10))</f>
        <v>8.964483978</v>
      </c>
      <c r="H18" s="23">
        <f>IF(H8&gt;=0, 0, ABS((H8/Baseline!E7)*10))</f>
        <v>9.445971526</v>
      </c>
      <c r="I18" s="23">
        <f>IF(I8&gt;=0, 0, ABS((I8/Baseline!E8)*10))</f>
        <v>10.26088966</v>
      </c>
      <c r="J18" s="23">
        <f>IF(J8&gt;=0, 0, ABS((J8/Baseline!E10)*10))</f>
        <v>10</v>
      </c>
      <c r="K18" s="23">
        <f>IF(K8&gt;=0, 0, ABS((K8/Baseline!E11)*10))</f>
        <v>10.03486037</v>
      </c>
      <c r="L18" s="23">
        <f>IF(L8&gt;=0, 0, ABS((L8/Baseline!E12)*10))</f>
        <v>3.754390333</v>
      </c>
      <c r="M18" s="23">
        <f>IF(M8&gt;=0, 0, ABS((M8/Baseline!E13)*10))</f>
        <v>5.810748639</v>
      </c>
      <c r="N18" s="23">
        <f>IF(N8&gt;=0, 0, ABS((N8/Baseline!E14)*10))</f>
        <v>10</v>
      </c>
    </row>
    <row r="19">
      <c r="A19" s="6"/>
      <c r="B19" s="6" t="s">
        <v>29</v>
      </c>
      <c r="C19" s="23">
        <f>IF(C9&lt;=0, 0, ABS((C9/Baseline!F2))*20)</f>
        <v>14.56765478</v>
      </c>
      <c r="D19" s="23">
        <f>IF(D9&lt;=0, 0, ABS((D9/Baseline!F3)*20))</f>
        <v>15.42614638</v>
      </c>
      <c r="E19" s="23">
        <f>IF(E9&lt;=0, 0, ABS((E9/Baseline!F4)*20))</f>
        <v>18.60333442</v>
      </c>
      <c r="F19" s="23">
        <f>IF(F9&lt;=0, 0, ABS((F9/Baseline!F5)*20))</f>
        <v>17.93208063</v>
      </c>
      <c r="G19" s="23">
        <f>IF(G9&lt;=0, 0, ABS((G9/Baseline!F6)*20))</f>
        <v>18.37451663</v>
      </c>
      <c r="H19" s="23">
        <f>IF(H9&lt;=0, 0, ABS((H9/Baseline!F7)*20))</f>
        <v>20.39611598</v>
      </c>
      <c r="I19" s="23">
        <f>IF(I9&lt;=0, 0, ABS((I9/Baseline!F8)*20))</f>
        <v>18.26439856</v>
      </c>
      <c r="J19" s="23">
        <f>IF(J9&lt;=0, 0, ABS((J9/Baseline!F10)*20))</f>
        <v>20</v>
      </c>
      <c r="K19" s="23">
        <f>IF(K9&lt;=0, 0, ABS((K9/Baseline!F11)*20))</f>
        <v>20.08200189</v>
      </c>
      <c r="L19" s="23">
        <f>IF(L9&lt;=0, 0, ABS((L9/Baseline!F12)*20))</f>
        <v>19.52999571</v>
      </c>
      <c r="M19" s="23">
        <f>IF(M9&lt;=0, 0, ABS((M9/Baseline!F13)*20))</f>
        <v>19.82415174</v>
      </c>
      <c r="N19" s="23">
        <f>IF(N9&lt;=0, 0, ABS((N9/Baseline!F14)*20))</f>
        <v>20</v>
      </c>
    </row>
    <row r="20">
      <c r="B20" s="6" t="s">
        <v>30</v>
      </c>
      <c r="C20" s="23">
        <f>IF(C10=0, 0, ABS((C10/Baseline!H2))*20)</f>
        <v>0</v>
      </c>
      <c r="D20" s="23">
        <f>IF(D10=0, 0, ABS((D10/Baseline!H3)*20))</f>
        <v>19.99987036</v>
      </c>
      <c r="E20" s="23">
        <f>IF(E10=0, 0, ABS((E10/Baseline!H4)*20))</f>
        <v>20.0000002</v>
      </c>
      <c r="F20" s="23">
        <f>IF(F10=0, 0, ABS((F10/Baseline!H5)*20))</f>
        <v>20.00006891</v>
      </c>
      <c r="G20" s="23">
        <f>IF(G10=0, 0, ABS((G10/Baseline!H6)*20))</f>
        <v>19.8378824</v>
      </c>
      <c r="H20" s="23">
        <f>IF(H10=0, 0, ABS((H10/Baseline!H7)*20))</f>
        <v>20.02697209</v>
      </c>
      <c r="I20" s="23">
        <f>IF(I10=0, 0, ABS((I10/Baseline!H8)*20))</f>
        <v>20.06409636</v>
      </c>
      <c r="J20" s="23">
        <f>IF(J10=0, 0, ABS((J10/Baseline!H10)*20))</f>
        <v>0</v>
      </c>
      <c r="K20" s="23">
        <f>IF(K10=0, 0, ABS((K10/Baseline!H11)*20))</f>
        <v>20.35239012</v>
      </c>
      <c r="L20" s="23">
        <f>IF(L10=0, 0, ABS((L10/Baseline!H12)*20))</f>
        <v>20.18649691</v>
      </c>
      <c r="M20" s="23">
        <f>IF(M10=0, 0, ABS((M10/Baseline!H13)*20))</f>
        <v>16.06406669</v>
      </c>
      <c r="N20" s="23">
        <f>IF(N10=0, 0, ABS((N10/Baseline!H14)*20))</f>
        <v>20</v>
      </c>
    </row>
    <row r="21">
      <c r="B21" s="6" t="s">
        <v>31</v>
      </c>
      <c r="C21" s="23">
        <f>(C11/Baseline!J2)</f>
        <v>1.00000016</v>
      </c>
      <c r="D21" s="23">
        <f>(D11/Baseline!J3)</f>
        <v>0.9999989054</v>
      </c>
      <c r="E21" s="23">
        <f>(E11/Baseline!J4)</f>
        <v>1.000000023</v>
      </c>
      <c r="F21" s="23">
        <f>(F11/Baseline!J5)</f>
        <v>0.9999981933</v>
      </c>
      <c r="G21" s="23">
        <f>(G11/Baseline!J6)</f>
        <v>1.009602925</v>
      </c>
      <c r="H21" s="23">
        <f>(H11/Baseline!J7)</f>
        <v>1.00955117</v>
      </c>
      <c r="I21" s="23">
        <f>(I11/Baseline!J8)</f>
        <v>1.00012211</v>
      </c>
      <c r="J21" s="23">
        <f>(J11/Baseline!J10)</f>
        <v>1</v>
      </c>
      <c r="K21" s="23">
        <f>(K11/Baseline!J11)</f>
        <v>1.001818803</v>
      </c>
      <c r="L21" s="23">
        <f>(L11/Baseline!J12)</f>
        <v>1</v>
      </c>
      <c r="M21" s="23">
        <f>(M11/Baseline!J13)</f>
        <v>1.005412361</v>
      </c>
      <c r="N21" s="23">
        <f>(N11/Baseline!J14)</f>
        <v>1</v>
      </c>
    </row>
    <row r="22">
      <c r="B22" s="6" t="s">
        <v>25</v>
      </c>
      <c r="C22" s="23">
        <f>IF(C12=0, 0, ABS((C12-Baseline!K2)))</f>
        <v>0</v>
      </c>
      <c r="D22" s="23">
        <f>IF(D12=0, 0, ABS((D12-Baseline!K3)))</f>
        <v>0</v>
      </c>
      <c r="E22" s="23">
        <f>IF(E12=0, 0, ABS(E12-Baseline!K4))</f>
        <v>0</v>
      </c>
      <c r="F22" s="23">
        <f>IF(F12=0, 0, ABS(F12-Baseline!K5))</f>
        <v>0</v>
      </c>
      <c r="G22" s="23">
        <f>IF(G12=0, 0, ABS(G12-Baseline!K6))</f>
        <v>0</v>
      </c>
      <c r="H22" s="23">
        <f>IF(H12=0, 0, ABS(H12-Baseline!K7))</f>
        <v>0</v>
      </c>
      <c r="I22" s="23">
        <f>IF(I12=0, 0, ABS(I12-Baseline!K8))</f>
        <v>0</v>
      </c>
      <c r="J22" s="23">
        <f>IF(J12=0, 0, ABS(J12-Baseline!K10))</f>
        <v>0</v>
      </c>
      <c r="K22" s="23">
        <f>IF(K12=0, 0, ABS(K12-Baseline!K11))</f>
        <v>0</v>
      </c>
      <c r="L22" s="23">
        <f>IF(L12=0, 0, ABS(L12-Baseline!K12))</f>
        <v>0</v>
      </c>
      <c r="M22" s="23">
        <f>IF(M12=0, 0, ABS(M12-Baseline!K13))</f>
        <v>0</v>
      </c>
      <c r="N22" s="23">
        <f>IF(N12=0, 0, ABS(N12-Baseline!K14))</f>
        <v>0</v>
      </c>
    </row>
    <row r="23">
      <c r="C23" s="24">
        <f t="shared" ref="C23:N23" si="2">sum(C18:C22)</f>
        <v>25.51392588</v>
      </c>
      <c r="D23" s="24">
        <f t="shared" si="2"/>
        <v>46.12780439</v>
      </c>
      <c r="E23" s="24">
        <f t="shared" si="2"/>
        <v>49.60334305</v>
      </c>
      <c r="F23" s="24">
        <f t="shared" si="2"/>
        <v>48.93214774</v>
      </c>
      <c r="G23" s="24">
        <f t="shared" si="2"/>
        <v>48.18648594</v>
      </c>
      <c r="H23" s="24">
        <f t="shared" si="2"/>
        <v>50.87861076</v>
      </c>
      <c r="I23" s="24">
        <f t="shared" si="2"/>
        <v>49.58950669</v>
      </c>
      <c r="J23" s="24">
        <f t="shared" si="2"/>
        <v>31</v>
      </c>
      <c r="K23" s="24">
        <f t="shared" si="2"/>
        <v>51.47107119</v>
      </c>
      <c r="L23" s="24">
        <f t="shared" si="2"/>
        <v>44.47088295</v>
      </c>
      <c r="M23" s="24">
        <f t="shared" si="2"/>
        <v>42.70437944</v>
      </c>
      <c r="N23" s="24">
        <f t="shared" si="2"/>
        <v>51</v>
      </c>
    </row>
    <row r="28">
      <c r="A28" s="25"/>
      <c r="B28" s="25"/>
      <c r="C28" s="25"/>
      <c r="D28" s="25"/>
      <c r="E28" s="25"/>
      <c r="F28" s="25"/>
      <c r="G28" s="25"/>
      <c r="H28" s="25"/>
      <c r="I28" s="25"/>
      <c r="J28" s="25"/>
    </row>
    <row r="29">
      <c r="A29" s="25"/>
      <c r="B29" s="25"/>
      <c r="C29" s="25"/>
      <c r="D29" s="25"/>
      <c r="E29" s="25"/>
      <c r="F29" s="25"/>
      <c r="G29" s="25"/>
      <c r="H29" s="25"/>
      <c r="I29" s="25"/>
      <c r="J29" s="25"/>
    </row>
    <row r="30">
      <c r="A30" s="25"/>
      <c r="B30" s="25"/>
      <c r="C30" s="25"/>
      <c r="D30" s="25"/>
      <c r="E30" s="25"/>
      <c r="F30" s="25"/>
      <c r="G30" s="25"/>
      <c r="H30" s="25"/>
      <c r="I30" s="25"/>
      <c r="J30" s="25"/>
    </row>
    <row r="31">
      <c r="A31" s="25"/>
      <c r="B31" s="25"/>
      <c r="C31" s="25"/>
      <c r="D31" s="25"/>
      <c r="E31" s="25"/>
      <c r="F31" s="25"/>
      <c r="G31" s="25"/>
      <c r="H31" s="25"/>
      <c r="I31" s="25"/>
      <c r="J31" s="25"/>
    </row>
    <row r="32">
      <c r="A32" s="25"/>
      <c r="B32" s="25"/>
      <c r="C32" s="25"/>
      <c r="D32" s="25"/>
      <c r="E32" s="25"/>
      <c r="F32" s="25"/>
      <c r="G32" s="25"/>
      <c r="H32" s="25"/>
      <c r="I32" s="25"/>
      <c r="J32" s="25"/>
    </row>
    <row r="33">
      <c r="A33" s="25"/>
      <c r="B33" s="25"/>
      <c r="C33" s="25"/>
      <c r="D33" s="25"/>
      <c r="E33" s="25"/>
      <c r="F33" s="25"/>
      <c r="G33" s="25"/>
      <c r="H33" s="25"/>
      <c r="I33" s="25"/>
      <c r="J33" s="25"/>
    </row>
  </sheetData>
  <dataValidations>
    <dataValidation type="custom" allowBlank="1" showDropDown="1" sqref="C2:K13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5" max="5" width="12.5"/>
    <col customWidth="1" min="6" max="6" width="12.13"/>
    <col customWidth="1" min="7" max="7" width="12.88"/>
    <col customWidth="1" min="8" max="8" width="27.13"/>
    <col customWidth="1" min="9" max="9" width="15.0"/>
  </cols>
  <sheetData>
    <row r="1">
      <c r="A1" s="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26" t="s">
        <v>8</v>
      </c>
      <c r="J1" s="3" t="s">
        <v>9</v>
      </c>
      <c r="K1" s="4" t="s">
        <v>10</v>
      </c>
      <c r="L1" s="4" t="s">
        <v>11</v>
      </c>
      <c r="M1" s="3" t="s">
        <v>12</v>
      </c>
      <c r="N1" s="5" t="s">
        <v>13</v>
      </c>
      <c r="O1" s="6"/>
    </row>
    <row r="2">
      <c r="A2" s="7" t="s">
        <v>14</v>
      </c>
      <c r="B2" s="8" t="s">
        <v>15</v>
      </c>
      <c r="C2" s="9"/>
      <c r="D2" s="9"/>
      <c r="E2" s="9"/>
      <c r="F2" s="9"/>
      <c r="G2" s="9"/>
      <c r="H2" s="9"/>
      <c r="I2" s="8"/>
      <c r="J2" s="9"/>
      <c r="K2" s="9"/>
      <c r="L2" s="8"/>
      <c r="M2" s="8"/>
      <c r="N2" s="8"/>
      <c r="O2" s="6"/>
    </row>
    <row r="3">
      <c r="A3" s="10"/>
      <c r="B3" s="8"/>
      <c r="C3" s="9"/>
      <c r="D3" s="9"/>
      <c r="E3" s="9"/>
      <c r="F3" s="9"/>
      <c r="G3" s="9"/>
      <c r="H3" s="9"/>
      <c r="I3" s="8"/>
      <c r="J3" s="9"/>
      <c r="K3" s="9"/>
      <c r="L3" s="8"/>
      <c r="M3" s="8"/>
      <c r="N3" s="8"/>
      <c r="O3" s="6"/>
    </row>
    <row r="4">
      <c r="A4" s="7" t="s">
        <v>16</v>
      </c>
      <c r="B4" s="8"/>
      <c r="C4" s="11" t="s">
        <v>15</v>
      </c>
      <c r="D4" s="11" t="s">
        <v>15</v>
      </c>
      <c r="E4" s="11" t="s">
        <v>15</v>
      </c>
      <c r="F4" s="11" t="s">
        <v>15</v>
      </c>
      <c r="G4" s="11" t="s">
        <v>15</v>
      </c>
      <c r="H4" s="11" t="s">
        <v>32</v>
      </c>
      <c r="I4" s="11" t="s">
        <v>15</v>
      </c>
      <c r="J4" s="11" t="s">
        <v>32</v>
      </c>
      <c r="K4" s="11" t="s">
        <v>33</v>
      </c>
      <c r="L4" s="11" t="s">
        <v>33</v>
      </c>
      <c r="M4" s="11" t="s">
        <v>33</v>
      </c>
      <c r="N4" s="11" t="s">
        <v>33</v>
      </c>
      <c r="O4" s="6"/>
    </row>
    <row r="5">
      <c r="A5" s="12" t="s">
        <v>17</v>
      </c>
      <c r="B5" s="8"/>
      <c r="C5" s="13">
        <v>41.0</v>
      </c>
      <c r="D5" s="13">
        <v>51.0</v>
      </c>
      <c r="E5" s="13">
        <v>68.0</v>
      </c>
      <c r="F5" s="13">
        <v>73.0</v>
      </c>
      <c r="G5" s="13">
        <v>609.0</v>
      </c>
      <c r="H5" s="13"/>
      <c r="I5" s="13">
        <v>6831.0</v>
      </c>
      <c r="J5" s="9"/>
      <c r="K5" s="9"/>
      <c r="L5" s="8"/>
      <c r="M5" s="8"/>
      <c r="N5" s="8"/>
      <c r="O5" s="6"/>
    </row>
    <row r="6">
      <c r="A6" s="7" t="s">
        <v>18</v>
      </c>
      <c r="B6" s="8"/>
      <c r="C6" s="11" t="s">
        <v>19</v>
      </c>
      <c r="D6" s="11" t="s">
        <v>19</v>
      </c>
      <c r="E6" s="11" t="s">
        <v>19</v>
      </c>
      <c r="F6" s="11" t="s">
        <v>34</v>
      </c>
      <c r="G6" s="11" t="s">
        <v>19</v>
      </c>
      <c r="H6" s="11"/>
      <c r="I6" s="11" t="s">
        <v>34</v>
      </c>
      <c r="J6" s="11"/>
      <c r="K6" s="11"/>
      <c r="L6" s="11"/>
      <c r="M6" s="11"/>
      <c r="N6" s="8"/>
      <c r="O6" s="6"/>
    </row>
    <row r="7">
      <c r="A7" s="12" t="s">
        <v>20</v>
      </c>
      <c r="B7" s="8"/>
      <c r="C7" s="14">
        <f>1 + MIN(0.2, MAX(-0.2, 0.02*LOG(C5 / runtimes!B10, 2)))</f>
        <v>0.89478333</v>
      </c>
      <c r="D7" s="14">
        <f>1 + MIN(0.2, MAX(-0.2, 0.02*LOG(D5 / runtimes!C10, 2)))</f>
        <v>0.9002587811</v>
      </c>
      <c r="E7" s="14">
        <f>1 + MIN(0.2, MAX(-0.2, 0.02*LOG(E5 / runtimes!D10, 2)))</f>
        <v>0.9757956459</v>
      </c>
      <c r="F7" s="14"/>
      <c r="G7" s="14">
        <f>1 + MIN(0.2, MAX(-0.2, 0.02*LOG(G5 / runtimes!F10, 2)))</f>
        <v>0.9953363701</v>
      </c>
      <c r="H7" s="15"/>
      <c r="I7" s="14"/>
      <c r="J7" s="14"/>
      <c r="K7" s="14"/>
      <c r="L7" s="14"/>
      <c r="M7" s="14"/>
      <c r="N7" s="15"/>
      <c r="O7" s="6"/>
    </row>
    <row r="8">
      <c r="A8" s="7" t="s">
        <v>21</v>
      </c>
      <c r="B8" s="8"/>
      <c r="C8" s="13">
        <v>-19.86254</v>
      </c>
      <c r="D8" s="13">
        <v>-19.79389</v>
      </c>
      <c r="E8" s="13">
        <v>-15.43788</v>
      </c>
      <c r="F8" s="13"/>
      <c r="G8" s="13">
        <v>-802.30456</v>
      </c>
      <c r="H8" s="13"/>
      <c r="I8" s="13"/>
      <c r="J8" s="9"/>
      <c r="K8" s="9"/>
      <c r="L8" s="8"/>
      <c r="M8" s="8"/>
      <c r="N8" s="8"/>
      <c r="O8" s="6"/>
    </row>
    <row r="9">
      <c r="A9" s="10" t="s">
        <v>22</v>
      </c>
      <c r="B9" s="8"/>
      <c r="C9" s="13">
        <v>16.2598414454873</v>
      </c>
      <c r="D9" s="13">
        <v>8.97989266279708</v>
      </c>
      <c r="E9" s="13">
        <v>40.5832513705739</v>
      </c>
      <c r="F9" s="13"/>
      <c r="G9" s="13">
        <v>1301.27181455219</v>
      </c>
      <c r="H9" s="13"/>
      <c r="I9" s="13"/>
      <c r="J9" s="9"/>
      <c r="K9" s="9"/>
      <c r="L9" s="8"/>
      <c r="M9" s="8"/>
      <c r="N9" s="8"/>
      <c r="O9" s="6"/>
    </row>
    <row r="10">
      <c r="A10" s="7" t="s">
        <v>23</v>
      </c>
      <c r="B10" s="8"/>
      <c r="C10" s="13">
        <v>0.0</v>
      </c>
      <c r="D10" s="13">
        <v>10.7919959589902</v>
      </c>
      <c r="E10" s="13">
        <v>314.587894308712</v>
      </c>
      <c r="F10" s="13"/>
      <c r="G10" s="13">
        <v>6293.63842467802</v>
      </c>
      <c r="H10" s="13"/>
      <c r="I10" s="13"/>
      <c r="J10" s="9"/>
      <c r="K10" s="9"/>
      <c r="L10" s="8"/>
      <c r="M10" s="8"/>
      <c r="N10" s="8"/>
      <c r="O10" s="6"/>
    </row>
    <row r="11">
      <c r="A11" s="10" t="s">
        <v>24</v>
      </c>
      <c r="B11" s="8"/>
      <c r="C11" s="13">
        <v>83.9949797576348</v>
      </c>
      <c r="D11" s="13">
        <v>30.3941129706896</v>
      </c>
      <c r="E11" s="13">
        <v>163.266217830182</v>
      </c>
      <c r="F11" s="13"/>
      <c r="G11" s="13">
        <v>590.426829294789</v>
      </c>
      <c r="H11" s="13"/>
      <c r="I11" s="13"/>
      <c r="J11" s="9"/>
      <c r="K11" s="9"/>
      <c r="L11" s="8"/>
      <c r="M11" s="8"/>
      <c r="N11" s="8"/>
      <c r="O11" s="6"/>
    </row>
    <row r="12">
      <c r="A12" s="7" t="s">
        <v>25</v>
      </c>
      <c r="B12" s="8"/>
      <c r="C12" s="13">
        <v>0.0</v>
      </c>
      <c r="D12" s="13">
        <v>0.0</v>
      </c>
      <c r="E12" s="13">
        <v>0.0</v>
      </c>
      <c r="F12" s="13"/>
      <c r="G12" s="13">
        <v>0.0</v>
      </c>
      <c r="H12" s="13"/>
      <c r="I12" s="13"/>
      <c r="J12" s="9"/>
      <c r="K12" s="9"/>
      <c r="L12" s="8"/>
      <c r="M12" s="8"/>
      <c r="N12" s="8"/>
      <c r="O12" s="6"/>
    </row>
    <row r="13">
      <c r="A13" s="17" t="s">
        <v>26</v>
      </c>
      <c r="B13" s="8"/>
      <c r="C13" s="18">
        <f t="shared" ref="C13:E13" si="1">SUM(C18:C22)*C7</f>
        <v>585.6582502</v>
      </c>
      <c r="D13" s="18">
        <f t="shared" si="1"/>
        <v>56.41438518</v>
      </c>
      <c r="E13" s="18">
        <f t="shared" si="1"/>
        <v>45.97248032</v>
      </c>
      <c r="F13" s="9" t="s">
        <v>35</v>
      </c>
      <c r="G13" s="18">
        <f t="shared" ref="G13:I13" si="2">SUM(G18:G22)*G7</f>
        <v>46.6776826</v>
      </c>
      <c r="H13" s="19">
        <f t="shared" si="2"/>
        <v>0</v>
      </c>
      <c r="I13" s="18">
        <f t="shared" si="2"/>
        <v>0</v>
      </c>
      <c r="J13" s="9" t="s">
        <v>35</v>
      </c>
      <c r="K13" s="9" t="s">
        <v>35</v>
      </c>
      <c r="L13" s="8" t="s">
        <v>35</v>
      </c>
      <c r="M13" s="8" t="s">
        <v>35</v>
      </c>
      <c r="N13" s="11" t="s">
        <v>35</v>
      </c>
      <c r="O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>
      <c r="A17" s="21" t="s">
        <v>27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>
      <c r="A18" s="6"/>
      <c r="B18" s="6" t="s">
        <v>28</v>
      </c>
      <c r="C18" s="23">
        <f>IF(C8&gt;=0, 0, ABS((C8/Baseline!E2))*10)</f>
        <v>11.08314083</v>
      </c>
      <c r="D18" s="23">
        <f>IF(D8&gt;=0, 0, ABS((D8/Baseline!E3)*10))</f>
        <v>10.50313334</v>
      </c>
      <c r="E18" s="23">
        <f>IF(E8&gt;=0, 0, ABS((E8/Baseline!E4)*10))</f>
        <v>12.96625288</v>
      </c>
      <c r="F18" s="23">
        <f>IF(F8&gt;=0, 0, ABS((F8/Baseline!E5)*10))</f>
        <v>0</v>
      </c>
      <c r="G18" s="23">
        <f>IF(G8&gt;=0, 0, ABS((G8/Baseline!E6)*10))</f>
        <v>10.73876415</v>
      </c>
      <c r="H18" s="23">
        <f>IF(H8&gt;=0, 0, ABS((H8/Baseline!E7)*10))</f>
        <v>0</v>
      </c>
      <c r="I18" s="23">
        <f>IF(I8&gt;=0, 0, ABS((I8/Baseline!E8)*10))</f>
        <v>0</v>
      </c>
      <c r="J18" s="23">
        <f>IF(J8&gt;=0, 0, ABS((J8/Baseline!E10)*10))</f>
        <v>0</v>
      </c>
      <c r="K18" s="23">
        <f>IF(K8&gt;=0, 0, ABS((K8/Baseline!E11)*10))</f>
        <v>0</v>
      </c>
      <c r="L18" s="23">
        <f>IF(L8&gt;=0, 0, ABS((L8/Baseline!E12)*10))</f>
        <v>0</v>
      </c>
      <c r="M18" s="23">
        <f>IF(M8&gt;=0, 0, ABS((M8/Baseline!E13)*10))</f>
        <v>0</v>
      </c>
      <c r="N18" s="23">
        <f>IF(N8&gt;=0, 0, ABS((N8/Baseline!E14)*10))</f>
        <v>0</v>
      </c>
    </row>
    <row r="19">
      <c r="A19" s="6"/>
      <c r="B19" s="6" t="s">
        <v>29</v>
      </c>
      <c r="C19" s="23">
        <f>IF(C9&lt;=0, 0, ABS((C9/Baseline!F2))*20)</f>
        <v>642.4275561</v>
      </c>
      <c r="D19" s="23">
        <f>IF(D9&lt;=0, 0, ABS((D9/Baseline!F3)*20))</f>
        <v>18.3846547</v>
      </c>
      <c r="E19" s="23">
        <f>IF(E9&lt;=0, 0, ABS((E9/Baseline!F4)*20))</f>
        <v>14.89367413</v>
      </c>
      <c r="F19" s="23">
        <f>IF(F9&lt;=0, 0, ABS((F9/Baseline!F5)*20))</f>
        <v>0</v>
      </c>
      <c r="G19" s="23">
        <f>IF(G9&lt;=0, 0, ABS((G9/Baseline!F6)*20))</f>
        <v>18.77579422</v>
      </c>
      <c r="H19" s="23">
        <f>IF(H9&lt;=0, 0, ABS((H9/Baseline!F7)*20))</f>
        <v>0</v>
      </c>
      <c r="I19" s="23">
        <f>IF(I9&lt;=0, 0, ABS((I9/Baseline!F8)*20))</f>
        <v>0</v>
      </c>
      <c r="J19" s="23">
        <f>IF(J9&lt;=0, 0, ABS((J9/Baseline!F10)*20))</f>
        <v>0</v>
      </c>
      <c r="K19" s="23">
        <f>IF(K9&lt;=0, 0, ABS((K9/Baseline!F11)*20))</f>
        <v>0</v>
      </c>
      <c r="L19" s="23">
        <f>IF(L9&lt;=0, 0, ABS((L9/Baseline!F12)*20))</f>
        <v>0</v>
      </c>
      <c r="M19" s="23">
        <f>IF(M9&lt;=0, 0, ABS((M9/Baseline!F13)*20))</f>
        <v>0</v>
      </c>
      <c r="N19" s="23">
        <f>IF(N9&lt;=0, 0, ABS((N9/Baseline!F14)*20))</f>
        <v>0</v>
      </c>
    </row>
    <row r="20">
      <c r="B20" s="6" t="s">
        <v>30</v>
      </c>
      <c r="C20" s="23">
        <f>IF(C10=0, 0, ABS((C10/Baseline!H2))*20)</f>
        <v>0</v>
      </c>
      <c r="D20" s="23">
        <f>IF(D10=0, 0, ABS((D10/Baseline!H3)*20))</f>
        <v>32.75562558</v>
      </c>
      <c r="E20" s="23">
        <f>IF(E10=0, 0, ABS((E10/Baseline!H4)*20))</f>
        <v>18.24084432</v>
      </c>
      <c r="F20" s="23">
        <f>IF(F10=0, 0, ABS((F10/Baseline!H5)*20))</f>
        <v>0</v>
      </c>
      <c r="G20" s="23">
        <f>IF(G10=0, 0, ABS((G10/Baseline!H6)*20))</f>
        <v>16.36356221</v>
      </c>
      <c r="H20" s="23">
        <f>IF(H10=0, 0, ABS((H10/Baseline!H7)*20))</f>
        <v>0</v>
      </c>
      <c r="I20" s="23">
        <f>IF(I10=0, 0, ABS((I10/Baseline!H8)*20))</f>
        <v>0</v>
      </c>
      <c r="J20" s="23">
        <f>IF(J10=0, 0, ABS((J10/Baseline!H10)*20))</f>
        <v>0</v>
      </c>
      <c r="K20" s="23">
        <f>IF(K10=0, 0, ABS((K10/Baseline!H11)*20))</f>
        <v>0</v>
      </c>
      <c r="L20" s="23">
        <f>IF(L10=0, 0, ABS((L10/Baseline!H12)*20))</f>
        <v>0</v>
      </c>
      <c r="M20" s="23">
        <f>IF(M10=0, 0, ABS((M10/Baseline!H13)*20))</f>
        <v>0</v>
      </c>
      <c r="N20" s="23">
        <f>IF(N10=0, 0, ABS((N10/Baseline!H14)*20))</f>
        <v>0</v>
      </c>
    </row>
    <row r="21">
      <c r="B21" s="6" t="s">
        <v>31</v>
      </c>
      <c r="C21" s="23">
        <f>(C11/Baseline!J2)</f>
        <v>1.014516666</v>
      </c>
      <c r="D21" s="23">
        <f>(D11/Baseline!J3)</f>
        <v>1.02121834</v>
      </c>
      <c r="E21" s="23">
        <f>(E11/Baseline!J4)</f>
        <v>1.012044255</v>
      </c>
      <c r="F21" s="23">
        <f>(F11/Baseline!J5)</f>
        <v>0</v>
      </c>
      <c r="G21" s="23">
        <f>(G11/Baseline!J6)</f>
        <v>1.01826943</v>
      </c>
      <c r="H21" s="23">
        <f>(H11/Baseline!J7)</f>
        <v>0</v>
      </c>
      <c r="I21" s="23">
        <f>(I11/Baseline!J8)</f>
        <v>0</v>
      </c>
      <c r="J21" s="23">
        <f>(J11/Baseline!J10)</f>
        <v>0</v>
      </c>
      <c r="K21" s="23">
        <f>(K11/Baseline!J11)</f>
        <v>0</v>
      </c>
      <c r="L21" s="23">
        <f>(L11/Baseline!J12)</f>
        <v>0</v>
      </c>
      <c r="M21" s="23">
        <f>(M11/Baseline!J13)</f>
        <v>0</v>
      </c>
      <c r="N21" s="23">
        <f>(N11/Baseline!J14)</f>
        <v>0</v>
      </c>
    </row>
    <row r="22">
      <c r="B22" s="6" t="s">
        <v>25</v>
      </c>
      <c r="C22" s="23">
        <f>IF(C12=0, 0, ABS((C12-Baseline!K2)))</f>
        <v>0</v>
      </c>
      <c r="D22" s="23">
        <f>IF(D12=0, 0, ABS((D12-Baseline!K3)))</f>
        <v>0</v>
      </c>
      <c r="E22" s="23">
        <f>IF(E12=0, 0, ABS(E12-Baseline!K4))</f>
        <v>0</v>
      </c>
      <c r="F22" s="23">
        <f>IF(F12=0, 0, ABS(F12-Baseline!K5))</f>
        <v>0</v>
      </c>
      <c r="G22" s="23">
        <f>IF(G12=0, 0, ABS(G12-Baseline!K6))</f>
        <v>0</v>
      </c>
      <c r="H22" s="23">
        <f>IF(H12=0, 0, ABS(H12-Baseline!K7))</f>
        <v>0</v>
      </c>
      <c r="I22" s="23">
        <f>IF(I12=0, 0, ABS(I12-Baseline!K8))</f>
        <v>0</v>
      </c>
      <c r="J22" s="23">
        <f>IF(J12=0, 0, ABS(J12-Baseline!K10))</f>
        <v>0</v>
      </c>
      <c r="K22" s="23">
        <f>IF(K12=0, 0, ABS(K12-Baseline!K11))</f>
        <v>0</v>
      </c>
      <c r="L22" s="23">
        <f>IF(L12=0, 0, ABS(L12-Baseline!K12))</f>
        <v>0</v>
      </c>
      <c r="M22" s="23">
        <f>IF(M12=0, 0, ABS(M12-Baseline!K13))</f>
        <v>0</v>
      </c>
      <c r="N22" s="23">
        <f>IF(N12=0, 0, ABS(N12-Baseline!K14))</f>
        <v>0</v>
      </c>
    </row>
    <row r="23">
      <c r="C23" s="24">
        <f t="shared" ref="C23:N23" si="3">sum(C18:C22)</f>
        <v>654.5252136</v>
      </c>
      <c r="D23" s="24">
        <f t="shared" si="3"/>
        <v>62.66463195</v>
      </c>
      <c r="E23" s="24">
        <f t="shared" si="3"/>
        <v>47.11281559</v>
      </c>
      <c r="F23" s="24">
        <f t="shared" si="3"/>
        <v>0</v>
      </c>
      <c r="G23" s="24">
        <f t="shared" si="3"/>
        <v>46.89639001</v>
      </c>
      <c r="H23" s="24">
        <f t="shared" si="3"/>
        <v>0</v>
      </c>
      <c r="I23" s="24">
        <f t="shared" si="3"/>
        <v>0</v>
      </c>
      <c r="J23" s="24">
        <f t="shared" si="3"/>
        <v>0</v>
      </c>
      <c r="K23" s="24">
        <f t="shared" si="3"/>
        <v>0</v>
      </c>
      <c r="L23" s="24">
        <f t="shared" si="3"/>
        <v>0</v>
      </c>
      <c r="M23" s="24">
        <f t="shared" si="3"/>
        <v>0</v>
      </c>
      <c r="N23" s="24">
        <f t="shared" si="3"/>
        <v>0</v>
      </c>
    </row>
    <row r="29">
      <c r="H29" s="27" t="s">
        <v>16</v>
      </c>
      <c r="I29" s="28" t="s">
        <v>36</v>
      </c>
    </row>
    <row r="30">
      <c r="I30" s="28" t="s">
        <v>37</v>
      </c>
    </row>
    <row r="31">
      <c r="I31" s="28" t="s">
        <v>38</v>
      </c>
    </row>
    <row r="32">
      <c r="I32" s="28" t="s">
        <v>39</v>
      </c>
    </row>
    <row r="33">
      <c r="I33" s="28" t="s">
        <v>40</v>
      </c>
    </row>
    <row r="34">
      <c r="I34" s="28" t="s">
        <v>41</v>
      </c>
    </row>
    <row r="37">
      <c r="H37" s="28" t="s">
        <v>42</v>
      </c>
    </row>
  </sheetData>
  <dataValidations>
    <dataValidation type="custom" allowBlank="1" showDropDown="1" sqref="C2:H13 J2:K13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84E3F"/>
    <outlinePr summaryBelow="0" summaryRight="0"/>
  </sheetPr>
  <sheetViews>
    <sheetView workbookViewId="0"/>
  </sheetViews>
  <sheetFormatPr customHeight="1" defaultColWidth="12.63" defaultRowHeight="15.75"/>
  <cols>
    <col customWidth="1" min="5" max="5" width="22.25"/>
    <col customWidth="1" min="6" max="6" width="9.75"/>
    <col customWidth="1" min="7" max="7" width="21.5"/>
    <col customWidth="1" min="8" max="8" width="21.13"/>
    <col customWidth="1" min="9" max="9" width="25.25"/>
    <col customWidth="1" min="10" max="10" width="14.25"/>
    <col customWidth="1" min="11" max="11" width="21.5"/>
    <col customWidth="1" min="14" max="14" width="25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8</v>
      </c>
      <c r="I1" s="29" t="s">
        <v>7</v>
      </c>
      <c r="J1" s="3" t="s">
        <v>9</v>
      </c>
      <c r="K1" s="4" t="s">
        <v>10</v>
      </c>
      <c r="L1" s="4" t="s">
        <v>11</v>
      </c>
      <c r="M1" s="3" t="s">
        <v>12</v>
      </c>
      <c r="N1" s="5" t="s">
        <v>13</v>
      </c>
    </row>
    <row r="2">
      <c r="A2" s="7" t="s">
        <v>14</v>
      </c>
      <c r="B2" s="8" t="s">
        <v>15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8"/>
    </row>
    <row r="3">
      <c r="A3" s="10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8"/>
    </row>
    <row r="4">
      <c r="A4" s="7" t="s">
        <v>16</v>
      </c>
      <c r="B4" s="8"/>
      <c r="C4" s="9" t="s">
        <v>15</v>
      </c>
      <c r="D4" s="9" t="s">
        <v>15</v>
      </c>
      <c r="E4" s="11" t="s">
        <v>43</v>
      </c>
      <c r="F4" s="11" t="s">
        <v>15</v>
      </c>
      <c r="G4" s="11" t="s">
        <v>15</v>
      </c>
      <c r="H4" s="9" t="s">
        <v>15</v>
      </c>
      <c r="I4" s="11" t="s">
        <v>15</v>
      </c>
      <c r="J4" s="9" t="s">
        <v>15</v>
      </c>
      <c r="K4" s="11" t="s">
        <v>43</v>
      </c>
      <c r="L4" s="11" t="s">
        <v>43</v>
      </c>
      <c r="M4" s="11" t="s">
        <v>43</v>
      </c>
      <c r="N4" s="11" t="s">
        <v>15</v>
      </c>
    </row>
    <row r="5">
      <c r="A5" s="12" t="s">
        <v>17</v>
      </c>
      <c r="B5" s="8"/>
      <c r="C5" s="13">
        <v>10216.0</v>
      </c>
      <c r="D5" s="13">
        <v>10274.0</v>
      </c>
      <c r="E5" s="13"/>
      <c r="F5" s="13">
        <v>10424.0</v>
      </c>
      <c r="G5" s="13">
        <v>10476.0</v>
      </c>
      <c r="H5" s="13">
        <v>12451.0</v>
      </c>
      <c r="I5" s="13">
        <v>10499.0</v>
      </c>
      <c r="J5" s="13">
        <v>10239.0</v>
      </c>
      <c r="K5" s="13"/>
      <c r="L5" s="13"/>
      <c r="M5" s="13"/>
      <c r="N5" s="11">
        <v>11863.0</v>
      </c>
    </row>
    <row r="6">
      <c r="A6" s="7" t="s">
        <v>18</v>
      </c>
      <c r="B6" s="8"/>
      <c r="C6" s="11" t="s">
        <v>19</v>
      </c>
      <c r="D6" s="11" t="s">
        <v>19</v>
      </c>
      <c r="E6" s="11"/>
      <c r="F6" s="11" t="s">
        <v>19</v>
      </c>
      <c r="G6" s="30" t="s">
        <v>34</v>
      </c>
      <c r="H6" s="30" t="s">
        <v>34</v>
      </c>
      <c r="I6" s="30" t="s">
        <v>34</v>
      </c>
      <c r="J6" s="11" t="s">
        <v>19</v>
      </c>
      <c r="K6" s="11"/>
      <c r="L6" s="11"/>
      <c r="M6" s="11"/>
      <c r="N6" s="30" t="s">
        <v>34</v>
      </c>
    </row>
    <row r="7">
      <c r="A7" s="12" t="s">
        <v>20</v>
      </c>
      <c r="B7" s="8"/>
      <c r="C7" s="14">
        <f>1 + MIN(0.2, MAX(-0.2, 0.02*LOG(C5 / runtimes!B10, 2)))</f>
        <v>1.054003146</v>
      </c>
      <c r="D7" s="14">
        <f>1 + MIN(0.2, MAX(-0.2, 0.02*LOG(D5 / runtimes!C10, 2)))</f>
        <v>1.053344481</v>
      </c>
      <c r="E7" s="14"/>
      <c r="F7" s="14">
        <f>1 + MIN(0.2, MAX(-0.2, 0.02*LOG(F5 / runtimes!E10, 2)))</f>
        <v>1.042290021</v>
      </c>
      <c r="G7" s="14"/>
      <c r="H7" s="15"/>
      <c r="I7" s="14"/>
      <c r="J7" s="14">
        <f>1 + MIN(0.2, MAX(-0.2, 0.02*LOG(J5 / runtimes!I10, 2)))</f>
        <v>1.051008706</v>
      </c>
      <c r="K7" s="14"/>
      <c r="L7" s="14"/>
      <c r="M7" s="14"/>
      <c r="N7" s="15"/>
    </row>
    <row r="8">
      <c r="A8" s="7" t="s">
        <v>21</v>
      </c>
      <c r="B8" s="8"/>
      <c r="C8" s="13">
        <v>-17.82511</v>
      </c>
      <c r="D8" s="13">
        <v>-18.2837</v>
      </c>
      <c r="E8" s="31"/>
      <c r="F8" s="13">
        <v>-59.3346</v>
      </c>
      <c r="G8" s="31"/>
      <c r="H8" s="13"/>
      <c r="I8" s="13"/>
      <c r="J8" s="13">
        <v>-0.42278</v>
      </c>
      <c r="K8" s="13"/>
      <c r="L8" s="13"/>
      <c r="M8" s="13"/>
      <c r="N8" s="32"/>
    </row>
    <row r="9">
      <c r="A9" s="10" t="s">
        <v>22</v>
      </c>
      <c r="B9" s="8"/>
      <c r="C9" s="13">
        <v>0.368707342435214</v>
      </c>
      <c r="D9" s="13">
        <v>7.5348240702322</v>
      </c>
      <c r="E9" s="31"/>
      <c r="F9" s="13">
        <v>21.3263545156827</v>
      </c>
      <c r="G9" s="31"/>
      <c r="H9" s="13"/>
      <c r="I9" s="13"/>
      <c r="J9" s="13">
        <v>1.7877397617827</v>
      </c>
      <c r="K9" s="13"/>
      <c r="L9" s="13"/>
      <c r="M9" s="13"/>
      <c r="N9" s="32"/>
    </row>
    <row r="10">
      <c r="A10" s="7" t="s">
        <v>23</v>
      </c>
      <c r="B10" s="8"/>
      <c r="C10" s="13">
        <v>0.0</v>
      </c>
      <c r="D10" s="13">
        <v>6.58935728789326</v>
      </c>
      <c r="E10" s="31"/>
      <c r="F10" s="13">
        <v>4.54601566351846</v>
      </c>
      <c r="G10" s="31"/>
      <c r="H10" s="13"/>
      <c r="I10" s="13"/>
      <c r="J10" s="13">
        <v>0.0</v>
      </c>
      <c r="K10" s="13"/>
      <c r="L10" s="13"/>
      <c r="M10" s="13"/>
      <c r="N10" s="32"/>
    </row>
    <row r="11">
      <c r="A11" s="10" t="s">
        <v>24</v>
      </c>
      <c r="B11" s="8"/>
      <c r="C11" s="13">
        <v>82.7931132626521</v>
      </c>
      <c r="D11" s="13">
        <v>29.7625674210433</v>
      </c>
      <c r="E11" s="31"/>
      <c r="F11" s="13">
        <v>19.2538652147647</v>
      </c>
      <c r="G11" s="31"/>
      <c r="H11" s="13"/>
      <c r="I11" s="13"/>
      <c r="J11" s="13">
        <v>52.8971124710765</v>
      </c>
      <c r="K11" s="13"/>
      <c r="L11" s="13"/>
      <c r="M11" s="13"/>
      <c r="N11" s="32"/>
    </row>
    <row r="12">
      <c r="A12" s="7" t="s">
        <v>25</v>
      </c>
      <c r="B12" s="8"/>
      <c r="C12" s="13">
        <v>0.0</v>
      </c>
      <c r="D12" s="13">
        <v>0.0</v>
      </c>
      <c r="E12" s="31"/>
      <c r="F12" s="13">
        <v>0.0</v>
      </c>
      <c r="G12" s="31"/>
      <c r="H12" s="13"/>
      <c r="I12" s="13"/>
      <c r="J12" s="13">
        <v>0.0</v>
      </c>
      <c r="K12" s="13"/>
      <c r="L12" s="13"/>
      <c r="M12" s="13"/>
      <c r="N12" s="11"/>
    </row>
    <row r="13">
      <c r="A13" s="17" t="s">
        <v>26</v>
      </c>
      <c r="B13" s="8"/>
      <c r="C13" s="18">
        <f t="shared" ref="C13:D13" si="1">SUM(C18:C22)*C7</f>
        <v>26.89175814</v>
      </c>
      <c r="D13" s="18">
        <f t="shared" si="1"/>
        <v>48.58846819</v>
      </c>
      <c r="E13" s="33" t="s">
        <v>35</v>
      </c>
      <c r="F13" s="18">
        <f>SUM(F18:F22)*F7</f>
        <v>51.00148929</v>
      </c>
      <c r="G13" s="33" t="s">
        <v>35</v>
      </c>
      <c r="H13" s="33" t="s">
        <v>35</v>
      </c>
      <c r="I13" s="34" t="s">
        <v>35</v>
      </c>
      <c r="J13" s="18">
        <f>SUM(J18:J22)*J7</f>
        <v>32.58126988</v>
      </c>
      <c r="K13" s="33" t="s">
        <v>35</v>
      </c>
      <c r="L13" s="34" t="s">
        <v>35</v>
      </c>
      <c r="M13" s="34" t="s">
        <v>35</v>
      </c>
      <c r="N13" s="34" t="s">
        <v>35</v>
      </c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</row>
    <row r="17">
      <c r="A17" s="21" t="s">
        <v>27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</row>
    <row r="18">
      <c r="A18" s="6"/>
      <c r="B18" s="6" t="s">
        <v>28</v>
      </c>
      <c r="C18" s="23">
        <f>IF(C8&gt;=0, 0, ABS((C8/Baseline!E2))*10)</f>
        <v>9.946270939</v>
      </c>
      <c r="D18" s="23">
        <f>IF(D8&gt;=0, 0, ABS((D8/Baseline!E3)*10))</f>
        <v>9.701788737</v>
      </c>
      <c r="E18" s="23">
        <f>IF(E8&gt;=0, 0, ABS((E8/Baseline!E4)*10))</f>
        <v>0</v>
      </c>
      <c r="F18" s="23">
        <f>IF(F8&gt;=0, 0, ABS((F8/Baseline!E5)*10))</f>
        <v>10</v>
      </c>
      <c r="G18" s="23">
        <f>IF(G8&gt;=0, 0, ABS((G8/Baseline!E6)*10))</f>
        <v>0</v>
      </c>
      <c r="H18" s="23">
        <f>IF(H8&gt;=0, 0, ABS((H8/Baseline!E7)*10))</f>
        <v>0</v>
      </c>
      <c r="I18" s="23">
        <f>IF(I8&gt;=0, 0, ABS((I8/Baseline!E8)*10))</f>
        <v>0</v>
      </c>
      <c r="J18" s="23">
        <f>IF(J8&gt;=0, 0, ABS((J8/Baseline!E10)*10))</f>
        <v>10</v>
      </c>
      <c r="K18" s="23">
        <f>IF(K8&gt;=0, 0, ABS((K8/Baseline!E11)*10))</f>
        <v>0</v>
      </c>
      <c r="L18" s="23">
        <f>IF(L8&gt;=0, 0, ABS((L8/Baseline!E12)*10))</f>
        <v>0</v>
      </c>
      <c r="M18" s="23">
        <f>IF(M8&gt;=0, 0, ABS((M8/Baseline!E13)*10))</f>
        <v>0</v>
      </c>
      <c r="N18" s="23">
        <f>IF(N8&gt;=0, 0, ABS((N8/Baseline!E14)*10))</f>
        <v>0</v>
      </c>
    </row>
    <row r="19">
      <c r="A19" s="6"/>
      <c r="B19" s="6" t="s">
        <v>29</v>
      </c>
      <c r="C19" s="23">
        <f>IF(C9&lt;=0, 0, ABS((C9/Baseline!F2))*20)</f>
        <v>14.56765478</v>
      </c>
      <c r="D19" s="23">
        <f>IF(D9&lt;=0, 0, ABS((D9/Baseline!F3)*20))</f>
        <v>15.42614638</v>
      </c>
      <c r="E19" s="23">
        <f>IF(E9&lt;=0, 0, ABS((E9/Baseline!F4)*20))</f>
        <v>0</v>
      </c>
      <c r="F19" s="23">
        <f>IF(F9&lt;=0, 0, ABS((F9/Baseline!F5)*20))</f>
        <v>17.93208063</v>
      </c>
      <c r="G19" s="23">
        <f>IF(G9&lt;=0, 0, ABS((G9/Baseline!F6)*20))</f>
        <v>0</v>
      </c>
      <c r="H19" s="23">
        <f>IF(H9&lt;=0, 0, ABS((H9/Baseline!F7)*20))</f>
        <v>0</v>
      </c>
      <c r="I19" s="23">
        <f>IF(I9&lt;=0, 0, ABS((I9/Baseline!F8)*20))</f>
        <v>0</v>
      </c>
      <c r="J19" s="23">
        <f>IF(J9&lt;=0, 0, ABS((J9/Baseline!F10)*20))</f>
        <v>20</v>
      </c>
      <c r="K19" s="23">
        <f>IF(K9&lt;=0, 0, ABS((K9/Baseline!F11)*20))</f>
        <v>0</v>
      </c>
      <c r="L19" s="23">
        <f>IF(L9&lt;=0, 0, ABS((L9/Baseline!F12)*20))</f>
        <v>0</v>
      </c>
      <c r="M19" s="23">
        <f>IF(M9&lt;=0, 0, ABS((M9/Baseline!F13)*20))</f>
        <v>0</v>
      </c>
      <c r="N19" s="23">
        <f>IF(N9&lt;=0, 0, ABS((N9/Baseline!F14)*20))</f>
        <v>0</v>
      </c>
    </row>
    <row r="20">
      <c r="A20" s="6"/>
      <c r="B20" s="6" t="s">
        <v>30</v>
      </c>
      <c r="C20" s="23">
        <f>IF(C10=0, 0, ABS((C10/Baseline!H2))*20)</f>
        <v>0</v>
      </c>
      <c r="D20" s="23">
        <f>IF(D10=0, 0, ABS((D10/Baseline!H3)*20))</f>
        <v>19.99987036</v>
      </c>
      <c r="E20" s="23">
        <f>IF(E10=0, 0, ABS((E10/Baseline!H4)*20))</f>
        <v>0</v>
      </c>
      <c r="F20" s="23">
        <f>IF(F10=0, 0, ABS((F10/Baseline!H5)*20))</f>
        <v>20.00006891</v>
      </c>
      <c r="G20" s="23">
        <f>IF(G10=0, 0, ABS((G10/Baseline!H6)*20))</f>
        <v>0</v>
      </c>
      <c r="H20" s="23">
        <f>IF(H10=0, 0, ABS((H10/Baseline!H7)*20))</f>
        <v>0</v>
      </c>
      <c r="I20" s="23">
        <f>IF(I10=0, 0, ABS((I10/Baseline!H8)*20))</f>
        <v>0</v>
      </c>
      <c r="J20" s="23">
        <f>IF(J10=0, 0, ABS((J10/Baseline!H10)*20))</f>
        <v>0</v>
      </c>
      <c r="K20" s="23">
        <f>IF(K10=0, 0, ABS((K10/Baseline!H11)*20))</f>
        <v>0</v>
      </c>
      <c r="L20" s="23">
        <f>IF(L10=0, 0, ABS((L10/Baseline!H12)*20))</f>
        <v>0</v>
      </c>
      <c r="M20" s="23">
        <f>IF(M10=0, 0, ABS((M10/Baseline!H13)*20))</f>
        <v>0</v>
      </c>
      <c r="N20" s="23">
        <f>IF(N10=0, 0, ABS((N10/Baseline!H14)*20))</f>
        <v>0</v>
      </c>
    </row>
    <row r="21">
      <c r="A21" s="6"/>
      <c r="B21" s="6" t="s">
        <v>31</v>
      </c>
      <c r="C21" s="23">
        <f>(C11/Baseline!J2)</f>
        <v>1.00000016</v>
      </c>
      <c r="D21" s="23">
        <f>(D11/Baseline!J3)</f>
        <v>0.9999989054</v>
      </c>
      <c r="E21" s="23">
        <f>(E11/Baseline!J4)</f>
        <v>0</v>
      </c>
      <c r="F21" s="23">
        <f>(F11/Baseline!J5)</f>
        <v>0.9999981933</v>
      </c>
      <c r="G21" s="23">
        <f>(G11/Baseline!J6)</f>
        <v>0</v>
      </c>
      <c r="H21" s="23">
        <f>(H11/Baseline!J7)</f>
        <v>0</v>
      </c>
      <c r="I21" s="23">
        <f>(I11/Baseline!J8)</f>
        <v>0</v>
      </c>
      <c r="J21" s="23">
        <f>(J11/Baseline!J10)</f>
        <v>1</v>
      </c>
      <c r="K21" s="23">
        <f>(K11/Baseline!J11)</f>
        <v>0</v>
      </c>
      <c r="L21" s="23">
        <f>(L11/Baseline!J12)</f>
        <v>0</v>
      </c>
      <c r="M21" s="23">
        <f>(M11/Baseline!J13)</f>
        <v>0</v>
      </c>
      <c r="N21" s="23">
        <f>(N11/Baseline!J14)</f>
        <v>0</v>
      </c>
    </row>
    <row r="22">
      <c r="A22" s="6"/>
      <c r="B22" s="6" t="s">
        <v>25</v>
      </c>
      <c r="C22" s="23">
        <f>IF(C12=0, 0, ABS((C12-Baseline!K2)))</f>
        <v>0</v>
      </c>
      <c r="D22" s="23">
        <f>IF(D12=0, 0, ABS((D12-Baseline!K3)))</f>
        <v>0</v>
      </c>
      <c r="E22" s="23">
        <f>IF(E12=0, 0, ABS(E12-Baseline!K4))</f>
        <v>0</v>
      </c>
      <c r="F22" s="23">
        <f>IF(F12=0, 0, ABS(F12-Baseline!K5))</f>
        <v>0</v>
      </c>
      <c r="G22" s="23">
        <f>IF(G12=0, 0, ABS(G12-Baseline!K6))</f>
        <v>0</v>
      </c>
      <c r="H22" s="23">
        <f>IF(H12=0, 0, ABS(H12-Baseline!K7))</f>
        <v>0</v>
      </c>
      <c r="I22" s="23">
        <f>IF(I12=0, 0, ABS(I12-Baseline!K8))</f>
        <v>0</v>
      </c>
      <c r="J22" s="23">
        <f>IF(J12=0, 0, ABS(J12-Baseline!K10))</f>
        <v>0</v>
      </c>
      <c r="K22" s="23">
        <f>IF(K12=0, 0, ABS(K12-Baseline!K11))</f>
        <v>0</v>
      </c>
      <c r="L22" s="23">
        <f>IF(L12=0, 0, ABS(L12-Baseline!K12))</f>
        <v>0</v>
      </c>
      <c r="M22" s="23">
        <f>IF(M12=0, 0, ABS(M12-Baseline!K13))</f>
        <v>0</v>
      </c>
      <c r="N22" s="23">
        <f>IF(N12=0, 0, ABS(N12-Baseline!K14))</f>
        <v>0</v>
      </c>
    </row>
    <row r="23">
      <c r="C23" s="24">
        <f t="shared" ref="C23:N23" si="2">sum(C18:C22)</f>
        <v>25.51392588</v>
      </c>
      <c r="D23" s="24">
        <f t="shared" si="2"/>
        <v>46.12780439</v>
      </c>
      <c r="E23" s="24">
        <f t="shared" si="2"/>
        <v>0</v>
      </c>
      <c r="F23" s="24">
        <f t="shared" si="2"/>
        <v>48.93214774</v>
      </c>
      <c r="G23" s="24">
        <f t="shared" si="2"/>
        <v>0</v>
      </c>
      <c r="H23" s="24">
        <f t="shared" si="2"/>
        <v>0</v>
      </c>
      <c r="I23" s="24">
        <f t="shared" si="2"/>
        <v>0</v>
      </c>
      <c r="J23" s="24">
        <f t="shared" si="2"/>
        <v>31</v>
      </c>
      <c r="K23" s="24">
        <f t="shared" si="2"/>
        <v>0</v>
      </c>
      <c r="L23" s="24">
        <f t="shared" si="2"/>
        <v>0</v>
      </c>
      <c r="M23" s="24">
        <f t="shared" si="2"/>
        <v>0</v>
      </c>
      <c r="N23" s="24">
        <f t="shared" si="2"/>
        <v>0</v>
      </c>
    </row>
    <row r="28">
      <c r="A28" s="25"/>
      <c r="B28" s="25"/>
      <c r="C28" s="25"/>
      <c r="D28" s="25"/>
      <c r="E28" s="25"/>
      <c r="F28" s="25"/>
      <c r="G28" s="25"/>
      <c r="H28" s="25"/>
      <c r="I28" s="25"/>
      <c r="J28" s="25"/>
    </row>
    <row r="29">
      <c r="A29" s="25"/>
      <c r="B29" s="25"/>
      <c r="H29" s="25"/>
      <c r="I29" s="25"/>
      <c r="J29" s="25"/>
    </row>
    <row r="30">
      <c r="A30" s="25"/>
      <c r="B30" s="25"/>
      <c r="H30" s="25"/>
      <c r="I30" s="25"/>
      <c r="J30" s="25"/>
    </row>
    <row r="31">
      <c r="A31" s="25"/>
      <c r="B31" s="25"/>
      <c r="H31" s="25"/>
      <c r="I31" s="25"/>
      <c r="J31" s="25"/>
    </row>
    <row r="32">
      <c r="A32" s="25"/>
      <c r="B32" s="25"/>
      <c r="H32" s="25"/>
      <c r="I32" s="25"/>
      <c r="J32" s="25"/>
    </row>
    <row r="33">
      <c r="A33" s="25"/>
      <c r="B33" s="25"/>
      <c r="H33" s="25"/>
      <c r="I33" s="25"/>
      <c r="J33" s="25"/>
    </row>
  </sheetData>
  <dataValidations>
    <dataValidation type="custom" allowBlank="1" showDropDown="1" sqref="C2:H13 J2:K13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4.88"/>
    <col customWidth="1" min="7" max="8" width="25.25"/>
    <col customWidth="1" min="9" max="9" width="24.0"/>
    <col customWidth="1" min="10" max="10" width="16.0"/>
    <col customWidth="1" min="11" max="11" width="22.63"/>
    <col customWidth="1" min="13" max="13" width="20.63"/>
    <col customWidth="1" min="14" max="14" width="27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9" t="s">
        <v>8</v>
      </c>
      <c r="J1" s="3" t="s">
        <v>9</v>
      </c>
      <c r="K1" s="4" t="s">
        <v>10</v>
      </c>
      <c r="L1" s="4" t="s">
        <v>11</v>
      </c>
      <c r="M1" s="3" t="s">
        <v>12</v>
      </c>
      <c r="N1" s="5" t="s">
        <v>13</v>
      </c>
    </row>
    <row r="2">
      <c r="A2" s="7" t="s">
        <v>14</v>
      </c>
      <c r="B2" s="8" t="s">
        <v>15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35"/>
    </row>
    <row r="3">
      <c r="A3" s="10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36"/>
    </row>
    <row r="4">
      <c r="A4" s="7" t="s">
        <v>16</v>
      </c>
      <c r="B4" s="8"/>
      <c r="C4" s="9" t="s">
        <v>15</v>
      </c>
      <c r="D4" s="9" t="s">
        <v>15</v>
      </c>
      <c r="E4" s="9" t="s">
        <v>15</v>
      </c>
      <c r="F4" s="11" t="s">
        <v>15</v>
      </c>
      <c r="G4" s="9" t="s">
        <v>15</v>
      </c>
      <c r="H4" s="9" t="s">
        <v>15</v>
      </c>
      <c r="I4" s="11" t="s">
        <v>43</v>
      </c>
      <c r="J4" s="9" t="s">
        <v>15</v>
      </c>
      <c r="K4" s="9" t="s">
        <v>15</v>
      </c>
      <c r="L4" s="11" t="s">
        <v>43</v>
      </c>
      <c r="M4" s="11" t="s">
        <v>43</v>
      </c>
      <c r="N4" s="11" t="s">
        <v>15</v>
      </c>
    </row>
    <row r="5">
      <c r="A5" s="12" t="s">
        <v>17</v>
      </c>
      <c r="B5" s="8"/>
      <c r="C5" s="13">
        <v>11.0</v>
      </c>
      <c r="D5" s="13">
        <v>59.0</v>
      </c>
      <c r="E5" s="13">
        <v>88.0</v>
      </c>
      <c r="F5" s="13">
        <v>331.0</v>
      </c>
      <c r="G5" s="13">
        <v>1001.0</v>
      </c>
      <c r="H5" s="13">
        <v>4120.0</v>
      </c>
      <c r="I5" s="13">
        <v>13654.0</v>
      </c>
      <c r="J5" s="13">
        <v>23.0</v>
      </c>
      <c r="K5" s="13">
        <v>400.0</v>
      </c>
      <c r="L5" s="37">
        <v>51581.0</v>
      </c>
      <c r="M5" s="37">
        <v>22660.0</v>
      </c>
      <c r="N5" s="38">
        <v>90.0</v>
      </c>
    </row>
    <row r="6">
      <c r="A6" s="7" t="s">
        <v>18</v>
      </c>
      <c r="B6" s="8"/>
      <c r="C6" s="11" t="s">
        <v>19</v>
      </c>
      <c r="D6" s="11" t="s">
        <v>19</v>
      </c>
      <c r="E6" s="11" t="s">
        <v>19</v>
      </c>
      <c r="F6" s="11" t="s">
        <v>19</v>
      </c>
      <c r="G6" s="11" t="s">
        <v>19</v>
      </c>
      <c r="H6" s="11" t="s">
        <v>19</v>
      </c>
      <c r="I6" s="13"/>
      <c r="J6" s="11" t="s">
        <v>19</v>
      </c>
      <c r="K6" s="11" t="s">
        <v>19</v>
      </c>
      <c r="L6" s="11" t="s">
        <v>19</v>
      </c>
      <c r="M6" s="11" t="s">
        <v>19</v>
      </c>
      <c r="N6" s="11" t="s">
        <v>19</v>
      </c>
    </row>
    <row r="7">
      <c r="A7" s="12" t="s">
        <v>20</v>
      </c>
      <c r="B7" s="8"/>
      <c r="C7" s="14">
        <f>1 + MIN(0.2, MAX(-0.2, 0.02*LOG(C5 / runtimes!B10, 2)))</f>
        <v>0.8568209223</v>
      </c>
      <c r="D7" s="14">
        <f>1 + MIN(0.2, MAX(-0.2, 0.02*LOG(D5 / runtimes!C10, 2)))</f>
        <v>0.9044631353</v>
      </c>
      <c r="E7" s="14">
        <f>1 + MIN(0.2, MAX(-0.2, 0.02*LOG(E5 / runtimes!D10, 2)))</f>
        <v>0.9832350214</v>
      </c>
      <c r="F7" s="14">
        <f>1 + MIN(0.2, MAX(-0.2, 0.02*LOG(F5 / runtimes!E10, 2)))</f>
        <v>0.9427513418</v>
      </c>
      <c r="G7" s="14">
        <f>1 + MIN(0.2, MAX(-0.2, 0.02*LOG(G5 / runtimes!F10, 2)))</f>
        <v>1.009674927</v>
      </c>
      <c r="H7" s="15">
        <f>1 + MIN(0.2, MAX(-0.2, 0.02*LOG(H5 / runtimes!G10, 2)))</f>
        <v>1.025157782</v>
      </c>
      <c r="I7" s="15">
        <f>1 + MIN(0.2, MAX(-0.2, 0.02*LOG(I5 / runtimes!H10, 2)))</f>
        <v>1.033876757</v>
      </c>
      <c r="J7" s="14">
        <f>1 + MIN(0.2, MAX(-0.2, 0.02*LOG(J5 / runtimes!I10, 2)))</f>
        <v>0.875044201</v>
      </c>
      <c r="K7" s="14">
        <f>1 + MIN(0.2, MAX(-0.2, 0.02*LOG(K5 / runtimes!J10, 2)))</f>
        <v>0.9654154709</v>
      </c>
      <c r="L7" s="15">
        <f>1 + MIN(0.2, MAX(-0.2, 0.02*LOG(L5 / runtimes!K10, 2)))</f>
        <v>1.07256922</v>
      </c>
      <c r="M7" s="14">
        <f>1 + MIN(0.2, MAX(-0.2, 0.02*LOG(M5 / runtimes!L10, 2)))</f>
        <v>1.074770455</v>
      </c>
      <c r="N7" s="39">
        <f>1 + MIN(0.2, MAX(-0.2, 0.02*LOG(N5 / runtimes!M10, 2)))</f>
        <v>0.9779281822</v>
      </c>
    </row>
    <row r="8">
      <c r="A8" s="7" t="s">
        <v>21</v>
      </c>
      <c r="B8" s="8"/>
      <c r="C8" s="13">
        <v>-17.82511</v>
      </c>
      <c r="D8" s="40">
        <v>-1.21857</v>
      </c>
      <c r="E8" s="40">
        <v>-5.18110999999999</v>
      </c>
      <c r="F8" s="40">
        <v>-37.0998499999999</v>
      </c>
      <c r="G8" s="40">
        <v>-28.05313</v>
      </c>
      <c r="H8" s="40">
        <v>-0.16144</v>
      </c>
      <c r="I8" s="13">
        <v>0.0</v>
      </c>
      <c r="J8" s="40">
        <v>-0.00648</v>
      </c>
      <c r="K8" s="40">
        <v>-2.75048999999999</v>
      </c>
      <c r="L8" s="40">
        <v>-2365.94375</v>
      </c>
      <c r="M8" s="40">
        <v>-9338.301</v>
      </c>
      <c r="N8" s="41">
        <v>-2.79914</v>
      </c>
    </row>
    <row r="9">
      <c r="A9" s="10" t="s">
        <v>22</v>
      </c>
      <c r="B9" s="8"/>
      <c r="C9" s="13">
        <v>0.368707342435214</v>
      </c>
      <c r="D9" s="40">
        <v>1.80814355155156</v>
      </c>
      <c r="E9" s="40">
        <v>11.3093432396738</v>
      </c>
      <c r="F9" s="40">
        <v>0.0</v>
      </c>
      <c r="G9" s="40">
        <v>1172.44124392401</v>
      </c>
      <c r="H9" s="40">
        <v>1095.80594179204</v>
      </c>
      <c r="I9" s="40">
        <v>6094.39169954597</v>
      </c>
      <c r="J9" s="40">
        <v>0.153893009446903</v>
      </c>
      <c r="K9" s="40">
        <v>4473.06505968468</v>
      </c>
      <c r="L9" s="40">
        <v>16185.1044110651</v>
      </c>
      <c r="M9" s="40">
        <v>2281.07</v>
      </c>
      <c r="N9" s="41">
        <v>30.6678626660339</v>
      </c>
    </row>
    <row r="10">
      <c r="A10" s="7" t="s">
        <v>23</v>
      </c>
      <c r="B10" s="8"/>
      <c r="C10" s="13">
        <v>0.0</v>
      </c>
      <c r="D10" s="40">
        <v>9.42696001284253</v>
      </c>
      <c r="E10" s="40">
        <v>0.0</v>
      </c>
      <c r="F10" s="40">
        <v>0.0</v>
      </c>
      <c r="G10" s="40">
        <v>1508.11707855258</v>
      </c>
      <c r="H10" s="40">
        <v>1256.14908150781</v>
      </c>
      <c r="I10" s="40">
        <v>8761.59692689866</v>
      </c>
      <c r="J10" s="40">
        <v>0.0</v>
      </c>
      <c r="K10" s="40">
        <v>5693.24566772344</v>
      </c>
      <c r="L10" s="40">
        <v>15485.8451382962</v>
      </c>
      <c r="M10" s="40">
        <v>4005.68</v>
      </c>
      <c r="N10" s="41">
        <v>58.5669547256174</v>
      </c>
    </row>
    <row r="11">
      <c r="A11" s="10" t="s">
        <v>24</v>
      </c>
      <c r="B11" s="8"/>
      <c r="C11" s="13">
        <v>82.7931132626521</v>
      </c>
      <c r="D11" s="40">
        <v>31.2478152498059</v>
      </c>
      <c r="E11" s="40">
        <v>161.636778516759</v>
      </c>
      <c r="F11" s="40">
        <v>20.0877662290994</v>
      </c>
      <c r="G11" s="40">
        <v>586.253462098431</v>
      </c>
      <c r="H11" s="40">
        <v>586.012469063232</v>
      </c>
      <c r="I11" s="40">
        <v>18102.01997825</v>
      </c>
      <c r="J11" s="40">
        <v>52.8999627807528</v>
      </c>
      <c r="K11" s="40">
        <v>349.089231054206</v>
      </c>
      <c r="L11" s="40">
        <v>17546.2778821165</v>
      </c>
      <c r="M11" s="40">
        <v>3153.21</v>
      </c>
      <c r="N11" s="41">
        <v>131.125162256898</v>
      </c>
    </row>
    <row r="12">
      <c r="A12" s="7" t="s">
        <v>25</v>
      </c>
      <c r="B12" s="8"/>
      <c r="C12" s="13">
        <v>0.0</v>
      </c>
      <c r="D12" s="40">
        <v>0.0</v>
      </c>
      <c r="E12" s="40">
        <v>0.0</v>
      </c>
      <c r="F12" s="40">
        <v>0.0</v>
      </c>
      <c r="G12" s="13">
        <v>0.0</v>
      </c>
      <c r="H12" s="13">
        <v>0.0</v>
      </c>
      <c r="I12" s="13">
        <v>0.0</v>
      </c>
      <c r="J12" s="40">
        <v>0.0</v>
      </c>
      <c r="K12" s="40">
        <v>0.0</v>
      </c>
      <c r="L12" s="13">
        <v>0.0</v>
      </c>
      <c r="M12" s="13">
        <v>0.0</v>
      </c>
      <c r="N12" s="41">
        <v>0.0</v>
      </c>
    </row>
    <row r="13">
      <c r="A13" s="17" t="s">
        <v>26</v>
      </c>
      <c r="B13" s="8"/>
      <c r="C13" s="18">
        <f t="shared" ref="C13:N13" si="1">SUM(C18:C22)*C7</f>
        <v>21.8608655</v>
      </c>
      <c r="D13" s="18">
        <f t="shared" si="1"/>
        <v>30.76155211</v>
      </c>
      <c r="E13" s="18">
        <f t="shared" si="1"/>
        <v>9.344639918</v>
      </c>
      <c r="F13" s="18">
        <f t="shared" si="1"/>
        <v>6.878275303</v>
      </c>
      <c r="G13" s="18">
        <f t="shared" si="1"/>
        <v>22.43963393</v>
      </c>
      <c r="H13" s="18">
        <f t="shared" si="1"/>
        <v>23.21459507</v>
      </c>
      <c r="I13" s="18">
        <f t="shared" si="1"/>
        <v>9.784325449</v>
      </c>
      <c r="J13" s="18">
        <f t="shared" si="1"/>
        <v>2.515729314</v>
      </c>
      <c r="K13" s="18">
        <f t="shared" si="1"/>
        <v>30.7175301</v>
      </c>
      <c r="L13" s="18">
        <f t="shared" si="1"/>
        <v>46.57350275</v>
      </c>
      <c r="M13" s="18">
        <f t="shared" si="1"/>
        <v>93.58396917</v>
      </c>
      <c r="N13" s="42">
        <f t="shared" si="1"/>
        <v>22.9514997</v>
      </c>
    </row>
    <row r="17">
      <c r="A17" s="21" t="s">
        <v>27</v>
      </c>
    </row>
    <row r="18">
      <c r="B18" s="6" t="s">
        <v>28</v>
      </c>
      <c r="C18" s="23">
        <f>IF(C8&gt;=0, 0, ABS((C8/Baseline!E2))*10)</f>
        <v>9.946270939</v>
      </c>
      <c r="D18" s="23">
        <f>IF(D8&gt;=0, 0, ABS((D8/Baseline!E3)*10))</f>
        <v>0.6466037345</v>
      </c>
      <c r="E18" s="23">
        <f>IF(E8&gt;=0, 0, ABS((E8/Baseline!E4)*10))</f>
        <v>4.351606726</v>
      </c>
      <c r="F18" s="23">
        <f>IF(F8&gt;=0, 0, ABS((F8/Baseline!E5)*10))</f>
        <v>6.252650224</v>
      </c>
      <c r="G18" s="23">
        <f>IF(G8&gt;=0, 0, ABS((G8/Baseline!E6)*10))</f>
        <v>0.3754882643</v>
      </c>
      <c r="H18" s="23">
        <f>IF(H8&gt;=0, 0, ABS((H8/Baseline!E7)*10))</f>
        <v>0.004128824649</v>
      </c>
      <c r="I18" s="23">
        <f>IF(I8&gt;=0, 0, ABS((I8/Baseline!E8)*10))</f>
        <v>0</v>
      </c>
      <c r="J18" s="23">
        <f>IF(J8&gt;=0, 0, ABS((J8/Baseline!E10)*10))</f>
        <v>0.1532712049</v>
      </c>
      <c r="K18" s="23">
        <f>IF(K8&gt;=0, 0, ABS((K8/Baseline!E11)*10))</f>
        <v>0.1978480698</v>
      </c>
      <c r="L18" s="23">
        <f>IF(L8&gt;=0, 0, ABS((L8/Baseline!E12)*10))</f>
        <v>6.697825554</v>
      </c>
      <c r="M18" s="23">
        <f>IF(M8&gt;=0, 0, ABS((M8/Baseline!E13)*10))</f>
        <v>6.792502361</v>
      </c>
      <c r="N18" s="23">
        <f>IF(N8&gt;=0, 0, ABS((N8/Baseline!E14)*10))</f>
        <v>3.83245388</v>
      </c>
    </row>
    <row r="19">
      <c r="B19" s="6" t="s">
        <v>29</v>
      </c>
      <c r="C19" s="23">
        <f>IF(C9&lt;=0, 0, ABS((C9/Baseline!F2))*20)</f>
        <v>14.56765478</v>
      </c>
      <c r="D19" s="23">
        <f>IF(D9&lt;=0, 0, ABS((D9/Baseline!F3)*20))</f>
        <v>3.701836546</v>
      </c>
      <c r="E19" s="23">
        <f>IF(E9&lt;=0, 0, ABS((E9/Baseline!F4)*20))</f>
        <v>4.15042332</v>
      </c>
      <c r="F19" s="23">
        <f>IF(F9&lt;=0, 0, ABS((F9/Baseline!F5)*20))</f>
        <v>0</v>
      </c>
      <c r="G19" s="23">
        <f>IF(G9&lt;=0, 0, ABS((G9/Baseline!F6)*20))</f>
        <v>16.91692334</v>
      </c>
      <c r="H19" s="23">
        <f>IF(H9&lt;=0, 0, ABS((H9/Baseline!F7)*20))</f>
        <v>18.27211511</v>
      </c>
      <c r="I19" s="23">
        <f>IF(I9&lt;=0, 0, ABS((I9/Baseline!F8)*20))</f>
        <v>5.844599423</v>
      </c>
      <c r="J19" s="23">
        <f>IF(J9&lt;=0, 0, ABS((J9/Baseline!F10)*20))</f>
        <v>1.721648897</v>
      </c>
      <c r="K19" s="23">
        <f>IF(K9&lt;=0, 0, ABS((K9/Baseline!F11)*20))</f>
        <v>16.5353989</v>
      </c>
      <c r="L19" s="23">
        <f>IF(L9&lt;=0, 0, ABS((L9/Baseline!F12)*20))</f>
        <v>18.5258932</v>
      </c>
      <c r="M19" s="23">
        <f>IF(M9&lt;=0, 0, ABS((M9/Baseline!F13)*20))</f>
        <v>23.88807338</v>
      </c>
      <c r="N19" s="23">
        <f>IF(N9&lt;=0, 0, ABS((N9/Baseline!F14)*20))</f>
        <v>14.69781458</v>
      </c>
    </row>
    <row r="20">
      <c r="B20" s="6" t="s">
        <v>30</v>
      </c>
      <c r="C20" s="23">
        <f>IF(C10=0, 0, ABS((C10/Baseline!H2))*20)</f>
        <v>0</v>
      </c>
      <c r="D20" s="23">
        <f>IF(D10=0, 0, ABS((D10/Baseline!H3)*20))</f>
        <v>28.6124989</v>
      </c>
      <c r="E20" s="23">
        <f>IF(E10=0, 0, ABS((E10/Baseline!H4)*20))</f>
        <v>0</v>
      </c>
      <c r="F20" s="23">
        <f>IF(F10=0, 0, ABS((F10/Baseline!H5)*20))</f>
        <v>0</v>
      </c>
      <c r="G20" s="23">
        <f>IF(G10=0, 0, ABS((G10/Baseline!H6)*20))</f>
        <v>3.921128919</v>
      </c>
      <c r="H20" s="23">
        <f>IF(H10=0, 0, ABS((H10/Baseline!H7)*20))</f>
        <v>3.357320869</v>
      </c>
      <c r="I20" s="23">
        <f>IF(I10=0, 0, ABS((I10/Baseline!H8)*20))</f>
        <v>2.618995541</v>
      </c>
      <c r="J20" s="23">
        <f>IF(J10=0, 0, ABS((J10/Baseline!H10)*20))</f>
        <v>0</v>
      </c>
      <c r="K20" s="23">
        <f>IF(K10=0, 0, ABS((K10/Baseline!H11)*20))</f>
        <v>14.07876793</v>
      </c>
      <c r="L20" s="23">
        <f>IF(L10=0, 0, ABS((L10/Baseline!H12)*20))</f>
        <v>17.19824724</v>
      </c>
      <c r="M20" s="23">
        <f>IF(M10=0, 0, ABS((M10/Baseline!H13)*20))</f>
        <v>55.38539325</v>
      </c>
      <c r="N20" s="23">
        <f>IF(N10=0, 0, ABS((N10/Baseline!H14)*20))</f>
        <v>3.927325264</v>
      </c>
    </row>
    <row r="21">
      <c r="B21" s="6" t="s">
        <v>31</v>
      </c>
      <c r="C21" s="23">
        <f>(C11/Baseline!J2)</f>
        <v>1.00000016</v>
      </c>
      <c r="D21" s="23">
        <f>(D11/Baseline!J3)</f>
        <v>1.049902067</v>
      </c>
      <c r="E21" s="23">
        <f>(E11/Baseline!J4)</f>
        <v>1.001943791</v>
      </c>
      <c r="F21" s="23">
        <f>(F11/Baseline!J5)</f>
        <v>1.043308952</v>
      </c>
      <c r="G21" s="23">
        <f>(G11/Baseline!J6)</f>
        <v>1.011071904</v>
      </c>
      <c r="H21" s="23">
        <f>(H11/Baseline!J7)</f>
        <v>1.011334818</v>
      </c>
      <c r="I21" s="23">
        <f>(I11/Baseline!J8)</f>
        <v>1.000130172</v>
      </c>
      <c r="J21" s="23">
        <f>(J11/Baseline!J10)</f>
        <v>1.000053884</v>
      </c>
      <c r="K21" s="23">
        <f>(K11/Baseline!J11)</f>
        <v>1.005923626</v>
      </c>
      <c r="L21" s="23">
        <f>(L11/Baseline!J12)</f>
        <v>1.000408883</v>
      </c>
      <c r="M21" s="23">
        <f>(M11/Baseline!J13)</f>
        <v>1.00747888</v>
      </c>
      <c r="N21" s="23">
        <f>(N11/Baseline!J14)</f>
        <v>1.011920824</v>
      </c>
    </row>
    <row r="22">
      <c r="B22" s="6" t="s">
        <v>25</v>
      </c>
      <c r="C22" s="23">
        <f>IF(C12=0, 0, ABS((C12-Baseline!K2)))</f>
        <v>0</v>
      </c>
      <c r="D22" s="23">
        <f>IF(D12=0, 0, ABS((D12-Baseline!K3)))</f>
        <v>0</v>
      </c>
      <c r="E22" s="23">
        <f>IF(E12=0, 0, ABS(E12-Baseline!K4))</f>
        <v>0</v>
      </c>
      <c r="F22" s="23">
        <f>IF(F12=0, 0, ABS(F12-Baseline!K5))</f>
        <v>0</v>
      </c>
      <c r="G22" s="23">
        <f>IF(G12=0, 0, ABS(G12-Baseline!K6))</f>
        <v>0</v>
      </c>
      <c r="H22" s="23">
        <f>IF(H12=0, 0, ABS(H12-Baseline!K7))</f>
        <v>0</v>
      </c>
      <c r="I22" s="23">
        <f>IF(I12=0, 0, ABS(I12-Baseline!K8))</f>
        <v>0</v>
      </c>
      <c r="J22" s="23">
        <f>IF(J12=0, 0, ABS(J12-Baseline!K10))</f>
        <v>0</v>
      </c>
      <c r="K22" s="23">
        <f>IF(K12=0, 0, ABS(K12-Baseline!K11))</f>
        <v>0</v>
      </c>
      <c r="L22" s="23">
        <f>IF(L12=0, 0, ABS(L12-Baseline!K12))</f>
        <v>0</v>
      </c>
      <c r="M22" s="23">
        <f>IF(M12=0, 0, ABS(M12-Baseline!K13))</f>
        <v>0</v>
      </c>
      <c r="N22" s="23">
        <f>IF(N12=0, 0, ABS(N12-Baseline!K14))</f>
        <v>0</v>
      </c>
    </row>
    <row r="23">
      <c r="B23" s="28" t="s">
        <v>44</v>
      </c>
      <c r="C23" s="24">
        <f t="shared" ref="C23:L23" si="2">sum(C18:C22)</f>
        <v>25.51392588</v>
      </c>
      <c r="D23" s="24">
        <f t="shared" si="2"/>
        <v>34.01084125</v>
      </c>
      <c r="E23" s="24">
        <f t="shared" si="2"/>
        <v>9.503973836</v>
      </c>
      <c r="F23" s="24">
        <f t="shared" si="2"/>
        <v>7.295959176</v>
      </c>
      <c r="G23" s="24">
        <f t="shared" si="2"/>
        <v>22.22461243</v>
      </c>
      <c r="H23" s="24">
        <f t="shared" si="2"/>
        <v>22.64489962</v>
      </c>
      <c r="I23" s="24">
        <f t="shared" si="2"/>
        <v>9.463725136</v>
      </c>
      <c r="J23" s="24">
        <f t="shared" si="2"/>
        <v>2.874973986</v>
      </c>
      <c r="K23" s="24">
        <f t="shared" si="2"/>
        <v>31.81793852</v>
      </c>
      <c r="L23" s="24">
        <f t="shared" si="2"/>
        <v>43.42237487</v>
      </c>
    </row>
    <row r="35">
      <c r="H35" s="28" t="s">
        <v>45</v>
      </c>
    </row>
  </sheetData>
  <dataValidations>
    <dataValidation type="custom" allowBlank="1" showDropDown="1" sqref="C2:L13 N2:N13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21.13"/>
    <col customWidth="1" min="7" max="7" width="25.38"/>
    <col customWidth="1" min="8" max="8" width="25.0"/>
    <col customWidth="1" min="9" max="9" width="29.13"/>
    <col customWidth="1" min="10" max="10" width="15.13"/>
    <col customWidth="1" min="14" max="14" width="21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9" t="s">
        <v>8</v>
      </c>
      <c r="J1" s="3" t="s">
        <v>9</v>
      </c>
      <c r="K1" s="4" t="s">
        <v>10</v>
      </c>
      <c r="L1" s="4" t="s">
        <v>11</v>
      </c>
      <c r="M1" s="3" t="s">
        <v>12</v>
      </c>
      <c r="N1" s="5" t="s">
        <v>13</v>
      </c>
      <c r="O1" s="6"/>
    </row>
    <row r="2">
      <c r="A2" s="7" t="s">
        <v>14</v>
      </c>
      <c r="B2" s="8" t="s">
        <v>15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13"/>
      <c r="O2" s="6"/>
    </row>
    <row r="3">
      <c r="A3" s="10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6"/>
    </row>
    <row r="4">
      <c r="A4" s="7" t="s">
        <v>16</v>
      </c>
      <c r="B4" s="8"/>
      <c r="C4" s="9" t="s">
        <v>15</v>
      </c>
      <c r="D4" s="9" t="s">
        <v>15</v>
      </c>
      <c r="E4" s="9" t="s">
        <v>15</v>
      </c>
      <c r="F4" s="11" t="s">
        <v>15</v>
      </c>
      <c r="G4" s="9" t="s">
        <v>15</v>
      </c>
      <c r="H4" s="9" t="s">
        <v>15</v>
      </c>
      <c r="I4" s="11" t="s">
        <v>15</v>
      </c>
      <c r="J4" s="9" t="s">
        <v>15</v>
      </c>
      <c r="K4" s="9" t="s">
        <v>15</v>
      </c>
      <c r="L4" s="9" t="s">
        <v>15</v>
      </c>
      <c r="M4" s="9" t="s">
        <v>15</v>
      </c>
      <c r="N4" s="11" t="s">
        <v>15</v>
      </c>
      <c r="O4" s="6"/>
    </row>
    <row r="5">
      <c r="A5" s="12" t="s">
        <v>17</v>
      </c>
      <c r="B5" s="8"/>
      <c r="C5" s="13">
        <v>47.0</v>
      </c>
      <c r="D5" s="13">
        <v>75.0</v>
      </c>
      <c r="E5" s="13">
        <v>252.0</v>
      </c>
      <c r="F5" s="13">
        <v>87.0</v>
      </c>
      <c r="G5" s="13">
        <v>293.0</v>
      </c>
      <c r="H5" s="13">
        <v>462.0</v>
      </c>
      <c r="I5" s="13">
        <v>900.0</v>
      </c>
      <c r="J5" s="13">
        <v>84.0</v>
      </c>
      <c r="K5" s="13">
        <v>146.0</v>
      </c>
      <c r="L5" s="13">
        <v>486.0</v>
      </c>
      <c r="M5" s="13">
        <v>740.0</v>
      </c>
      <c r="N5" s="13">
        <v>392.0</v>
      </c>
      <c r="O5" s="6"/>
    </row>
    <row r="6">
      <c r="A6" s="7" t="s">
        <v>18</v>
      </c>
      <c r="B6" s="8"/>
      <c r="C6" s="11" t="s">
        <v>19</v>
      </c>
      <c r="D6" s="11" t="s">
        <v>19</v>
      </c>
      <c r="E6" s="11" t="s">
        <v>19</v>
      </c>
      <c r="F6" s="11" t="s">
        <v>19</v>
      </c>
      <c r="G6" s="11" t="s">
        <v>19</v>
      </c>
      <c r="H6" s="11" t="s">
        <v>19</v>
      </c>
      <c r="I6" s="11" t="s">
        <v>19</v>
      </c>
      <c r="J6" s="11" t="s">
        <v>19</v>
      </c>
      <c r="K6" s="11" t="s">
        <v>19</v>
      </c>
      <c r="L6" s="11" t="s">
        <v>19</v>
      </c>
      <c r="M6" s="11" t="s">
        <v>19</v>
      </c>
      <c r="N6" s="11" t="s">
        <v>19</v>
      </c>
      <c r="O6" s="6"/>
    </row>
    <row r="7">
      <c r="A7" s="12" t="s">
        <v>20</v>
      </c>
      <c r="B7" s="8"/>
      <c r="C7" s="14">
        <f>1 + MIN(0.2, MAX(-0.2, 0.02*LOG(C5 / runtimes!B10, 2)))</f>
        <v>0.898724067</v>
      </c>
      <c r="D7" s="14">
        <f>1 + MIN(0.2, MAX(-0.2, 0.02*LOG(D5 / runtimes!C10, 2)))</f>
        <v>0.9113866481</v>
      </c>
      <c r="E7" s="14">
        <f>1 + MIN(0.2, MAX(-0.2, 0.02*LOG(E5 / runtimes!D10, 2)))</f>
        <v>1.013591987</v>
      </c>
      <c r="F7" s="14">
        <f>1 + MIN(0.2, MAX(-0.2, 0.02*LOG(F5 / runtimes!E10, 2)))</f>
        <v>0.9041964635</v>
      </c>
      <c r="G7" s="14">
        <f>1 + MIN(0.2, MAX(-0.2, 0.02*LOG(G5 / runtimes!F10, 2)))</f>
        <v>0.9742255388</v>
      </c>
      <c r="H7" s="15">
        <f>1 + MIN(0.2, MAX(-0.2, 0.02*LOG(H5 / runtimes!G10, 2)))</f>
        <v>0.9620241906</v>
      </c>
      <c r="I7" s="15">
        <f>1 + MIN(0.2, MAX(-0.2, 0.02*LOG(I5 / runtimes!H10, 2)))</f>
        <v>0.9554116596</v>
      </c>
      <c r="J7" s="14">
        <f>1 + MIN(0.2, MAX(-0.2, 0.02*LOG(J5 / runtimes!I10, 2)))</f>
        <v>0.9124193103</v>
      </c>
      <c r="K7" s="14">
        <f>1 + MIN(0.2, MAX(-0.2, 0.02*LOG(K5 / runtimes!J10, 2)))</f>
        <v>0.9363348383</v>
      </c>
      <c r="L7" s="15">
        <f>1 + MIN(0.2, MAX(-0.2, 0.02*LOG(L5 / runtimes!K10, 2)))</f>
        <v>0.9379744276</v>
      </c>
      <c r="M7" s="15">
        <f>1 + MIN(0.2, MAX(-0.2, 0.02*LOG(M5 / runtimes!L10, 2)))</f>
        <v>0.9760408792</v>
      </c>
      <c r="N7" s="15">
        <f>1 + MIN(0.2, MAX(-0.2, 0.02*LOG(N5 / runtimes!M10, 2)))</f>
        <v>1.020385317</v>
      </c>
      <c r="O7" s="6"/>
    </row>
    <row r="8">
      <c r="A8" s="7" t="s">
        <v>21</v>
      </c>
      <c r="B8" s="8"/>
      <c r="C8" s="13">
        <v>-17.82511</v>
      </c>
      <c r="D8" s="13">
        <v>-18.2837</v>
      </c>
      <c r="E8" s="13">
        <v>-11.90621</v>
      </c>
      <c r="F8" s="13">
        <v>-59.3346</v>
      </c>
      <c r="G8" s="13">
        <v>-669.74619</v>
      </c>
      <c r="H8" s="13">
        <v>-369.34425</v>
      </c>
      <c r="I8" s="13">
        <v>-19.31633</v>
      </c>
      <c r="J8" s="13">
        <v>-0.42278</v>
      </c>
      <c r="K8" s="13">
        <v>-139.50494</v>
      </c>
      <c r="L8" s="43">
        <v>-1326.203</v>
      </c>
      <c r="M8" s="13">
        <v>-4566.3595</v>
      </c>
      <c r="N8" s="13">
        <v>-7.30378</v>
      </c>
      <c r="O8" s="6"/>
    </row>
    <row r="9">
      <c r="A9" s="10" t="s">
        <v>22</v>
      </c>
      <c r="B9" s="8"/>
      <c r="C9" s="13">
        <v>0.368707342435214</v>
      </c>
      <c r="D9" s="13">
        <v>7.5348240702322</v>
      </c>
      <c r="E9" s="13">
        <v>50.6915748543779</v>
      </c>
      <c r="F9" s="13">
        <v>21.3263545156827</v>
      </c>
      <c r="G9" s="13">
        <v>1273.46094244695</v>
      </c>
      <c r="H9" s="13">
        <v>1223.18543574473</v>
      </c>
      <c r="I9" s="13">
        <v>19045.0005087828</v>
      </c>
      <c r="J9" s="13">
        <v>1.7877397617827</v>
      </c>
      <c r="K9" s="13">
        <v>5432.47257248077</v>
      </c>
      <c r="L9" s="43">
        <v>17062.3362829859</v>
      </c>
      <c r="M9" s="43">
        <v>2063.56394236162</v>
      </c>
      <c r="N9" s="13">
        <v>41.7311873113224</v>
      </c>
      <c r="O9" s="6"/>
    </row>
    <row r="10">
      <c r="A10" s="7" t="s">
        <v>23</v>
      </c>
      <c r="B10" s="8"/>
      <c r="C10" s="13">
        <v>0.0</v>
      </c>
      <c r="D10" s="13">
        <v>6.58935728789326</v>
      </c>
      <c r="E10" s="13">
        <v>344.926903472807</v>
      </c>
      <c r="F10" s="13">
        <v>4.54601566351846</v>
      </c>
      <c r="G10" s="13">
        <v>7629.90706856467</v>
      </c>
      <c r="H10" s="13">
        <v>7493.13621642032</v>
      </c>
      <c r="I10" s="13">
        <v>67122.4987924661</v>
      </c>
      <c r="J10" s="13">
        <v>0.0</v>
      </c>
      <c r="K10" s="13">
        <v>8230.20576081639</v>
      </c>
      <c r="L10" s="43">
        <v>18176.5595498297</v>
      </c>
      <c r="M10" s="43">
        <v>1560.71490908966</v>
      </c>
      <c r="N10" s="13">
        <v>298.253649967487</v>
      </c>
      <c r="O10" s="6"/>
    </row>
    <row r="11">
      <c r="A11" s="10" t="s">
        <v>24</v>
      </c>
      <c r="B11" s="8"/>
      <c r="C11" s="13">
        <v>82.7931132626521</v>
      </c>
      <c r="D11" s="13">
        <v>29.7625674210433</v>
      </c>
      <c r="E11" s="13">
        <v>161.323203656729</v>
      </c>
      <c r="F11" s="13">
        <v>19.2538652147647</v>
      </c>
      <c r="G11" s="13">
        <v>585.401698430219</v>
      </c>
      <c r="H11" s="13">
        <v>584.978943800546</v>
      </c>
      <c r="I11" s="13">
        <v>18101.8740517836</v>
      </c>
      <c r="J11" s="13">
        <v>52.8971124710765</v>
      </c>
      <c r="K11" s="13">
        <v>347.664719747708</v>
      </c>
      <c r="L11" s="43">
        <v>17539.1064409357</v>
      </c>
      <c r="M11" s="43">
        <v>3146.74249644656</v>
      </c>
      <c r="N11" s="13">
        <v>129.580456498263</v>
      </c>
      <c r="O11" s="6"/>
    </row>
    <row r="12">
      <c r="A12" s="7" t="s">
        <v>25</v>
      </c>
      <c r="B12" s="8"/>
      <c r="C12" s="13">
        <v>0.0</v>
      </c>
      <c r="D12" s="13">
        <v>0.0</v>
      </c>
      <c r="E12" s="13">
        <v>0.0</v>
      </c>
      <c r="F12" s="13">
        <v>0.0</v>
      </c>
      <c r="G12" s="13">
        <v>0.0</v>
      </c>
      <c r="H12" s="13">
        <v>0.0</v>
      </c>
      <c r="I12" s="13">
        <v>0.0</v>
      </c>
      <c r="J12" s="13">
        <v>0.0</v>
      </c>
      <c r="K12" s="13">
        <v>0.0</v>
      </c>
      <c r="L12" s="13">
        <v>0.0</v>
      </c>
      <c r="M12" s="13">
        <v>0.0</v>
      </c>
      <c r="N12" s="13">
        <v>0.0</v>
      </c>
      <c r="O12" s="6"/>
    </row>
    <row r="13">
      <c r="A13" s="17" t="s">
        <v>26</v>
      </c>
      <c r="B13" s="8"/>
      <c r="C13" s="18">
        <f t="shared" ref="C13:N13" si="1">SUM(C18:C22)*C7</f>
        <v>22.92997923</v>
      </c>
      <c r="D13" s="18">
        <f t="shared" si="1"/>
        <v>42.04026502</v>
      </c>
      <c r="E13" s="18">
        <f t="shared" si="1"/>
        <v>50.27755107</v>
      </c>
      <c r="F13" s="18">
        <f t="shared" si="1"/>
        <v>44.24427494</v>
      </c>
      <c r="G13" s="18">
        <f t="shared" si="1"/>
        <v>46.94450523</v>
      </c>
      <c r="H13" s="19">
        <f t="shared" si="1"/>
        <v>48.94645433</v>
      </c>
      <c r="I13" s="19">
        <f t="shared" si="1"/>
        <v>47.37839289</v>
      </c>
      <c r="J13" s="18">
        <f t="shared" si="1"/>
        <v>28.28499862</v>
      </c>
      <c r="K13" s="18">
        <f t="shared" si="1"/>
        <v>48.19415712</v>
      </c>
      <c r="L13" s="19">
        <f t="shared" si="1"/>
        <v>41.71255098</v>
      </c>
      <c r="M13" s="19">
        <f t="shared" si="1"/>
        <v>46.37827785</v>
      </c>
      <c r="N13" s="19">
        <f t="shared" si="1"/>
        <v>52.03965118</v>
      </c>
      <c r="O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</row>
    <row r="16">
      <c r="A16" s="6"/>
      <c r="B16" s="6"/>
      <c r="C16" s="6"/>
      <c r="D16" s="6"/>
      <c r="E16" s="6"/>
      <c r="F16" s="6"/>
      <c r="G16" s="6"/>
      <c r="H16" s="6"/>
      <c r="I16" s="21"/>
      <c r="J16" s="21"/>
      <c r="K16" s="21"/>
      <c r="L16" s="21"/>
      <c r="M16" s="21"/>
      <c r="N16" s="21"/>
      <c r="O16" s="21"/>
      <c r="P16" s="21"/>
      <c r="Q16" s="21"/>
      <c r="R16" s="21"/>
    </row>
    <row r="17">
      <c r="A17" s="21" t="s">
        <v>27</v>
      </c>
      <c r="B17" s="6"/>
      <c r="C17" s="6"/>
      <c r="D17" s="6"/>
      <c r="E17" s="6"/>
      <c r="F17" s="6"/>
      <c r="G17" s="6"/>
      <c r="H17" s="6"/>
      <c r="I17" s="21"/>
      <c r="J17" s="21"/>
      <c r="K17" s="21"/>
      <c r="L17" s="21"/>
      <c r="M17" s="21"/>
      <c r="N17" s="21"/>
      <c r="O17" s="21"/>
      <c r="P17" s="21"/>
      <c r="Q17" s="21"/>
      <c r="R17" s="21"/>
    </row>
    <row r="18">
      <c r="A18" s="6"/>
      <c r="B18" s="6" t="s">
        <v>28</v>
      </c>
      <c r="C18" s="23">
        <f>IF(C8&gt;=0, 0, ABS((C8/Baseline!E2))*10)</f>
        <v>9.946270939</v>
      </c>
      <c r="D18" s="23">
        <f>IF(D8&gt;=0, 0, ABS((D8/Baseline!E3)*10))</f>
        <v>9.701788737</v>
      </c>
      <c r="E18" s="23">
        <f>IF(E8&gt;=0, 0, ABS((E8/Baseline!E4)*10))</f>
        <v>10.0000084</v>
      </c>
      <c r="F18" s="23">
        <f>IF(F8&gt;=0, 0, ABS((F8/Baseline!E5)*10))</f>
        <v>10</v>
      </c>
      <c r="G18" s="23">
        <f>IF(G8&gt;=0, 0, ABS((G8/Baseline!E6)*10))</f>
        <v>8.964483978</v>
      </c>
      <c r="H18" s="23">
        <f>IF(H8&gt;=0, 0, ABS((H8/Baseline!E7)*10))</f>
        <v>9.445971526</v>
      </c>
      <c r="I18" s="23">
        <f>IF(I8&gt;=0, 0, ABS((I8/Baseline!E8)*10))</f>
        <v>10.26088966</v>
      </c>
      <c r="J18" s="23">
        <f>IF(J8&gt;=0, 0, ABS((J8/Baseline!E10)*10))</f>
        <v>10</v>
      </c>
      <c r="K18" s="23">
        <f>IF(K8&gt;=0, 0, ABS((K8/Baseline!E11)*10))</f>
        <v>10.03486037</v>
      </c>
      <c r="L18" s="23">
        <f>IF(L8&gt;=0, 0, ABS((L8/Baseline!E12)*10))</f>
        <v>3.754390333</v>
      </c>
      <c r="M18" s="23">
        <f>IF(M8&gt;=0, 0, ABS((M8/Baseline!E13)*10))</f>
        <v>3.321482964</v>
      </c>
      <c r="N18" s="23">
        <f>IF(N8&gt;=0, 0, ABS((N8/Baseline!E14)*10))</f>
        <v>10</v>
      </c>
    </row>
    <row r="19">
      <c r="A19" s="6"/>
      <c r="B19" s="6" t="s">
        <v>29</v>
      </c>
      <c r="C19" s="23">
        <f>IF(C9&lt;=0, 0, ABS((C9/Baseline!F2))*20)</f>
        <v>14.56765478</v>
      </c>
      <c r="D19" s="23">
        <f>IF(D9&lt;=0, 0, ABS((D9/Baseline!F3)*20))</f>
        <v>15.42614638</v>
      </c>
      <c r="E19" s="23">
        <f>IF(E9&lt;=0, 0, ABS((E9/Baseline!F4)*20))</f>
        <v>18.60333442</v>
      </c>
      <c r="F19" s="23">
        <f>IF(F9&lt;=0, 0, ABS((F9/Baseline!F5)*20))</f>
        <v>17.93208063</v>
      </c>
      <c r="G19" s="23">
        <f>IF(G9&lt;=0, 0, ABS((G9/Baseline!F6)*20))</f>
        <v>18.37451663</v>
      </c>
      <c r="H19" s="23">
        <f>IF(H9&lt;=0, 0, ABS((H9/Baseline!F7)*20))</f>
        <v>20.39611598</v>
      </c>
      <c r="I19" s="23">
        <f>IF(I9&lt;=0, 0, ABS((I9/Baseline!F8)*20))</f>
        <v>18.26439856</v>
      </c>
      <c r="J19" s="23">
        <f>IF(J9&lt;=0, 0, ABS((J9/Baseline!F10)*20))</f>
        <v>20</v>
      </c>
      <c r="K19" s="23">
        <f>IF(K9&lt;=0, 0, ABS((K9/Baseline!F11)*20))</f>
        <v>20.08200189</v>
      </c>
      <c r="L19" s="23">
        <f>IF(L9&lt;=0, 0, ABS((L9/Baseline!F12)*20))</f>
        <v>19.52999571</v>
      </c>
      <c r="M19" s="23">
        <f>IF(M9&lt;=0, 0, ABS((M9/Baseline!F13)*20))</f>
        <v>21.6102824</v>
      </c>
      <c r="N19" s="23">
        <f>IF(N9&lt;=0, 0, ABS((N9/Baseline!F14)*20))</f>
        <v>20</v>
      </c>
    </row>
    <row r="20">
      <c r="B20" s="6" t="s">
        <v>30</v>
      </c>
      <c r="C20" s="23">
        <f>IF(C10=0, 0, ABS((C10/Baseline!H2))*20)</f>
        <v>0</v>
      </c>
      <c r="D20" s="23">
        <f>IF(D10=0, 0, ABS((D10/Baseline!H3)*20))</f>
        <v>19.99987036</v>
      </c>
      <c r="E20" s="23">
        <f>IF(E10=0, 0, ABS((E10/Baseline!H4)*20))</f>
        <v>20.0000002</v>
      </c>
      <c r="F20" s="23">
        <f>IF(F10=0, 0, ABS((F10/Baseline!H5)*20))</f>
        <v>20.00006891</v>
      </c>
      <c r="G20" s="23">
        <f>IF(G10=0, 0, ABS((G10/Baseline!H6)*20))</f>
        <v>19.8378824</v>
      </c>
      <c r="H20" s="23">
        <f>IF(H10=0, 0, ABS((H10/Baseline!H7)*20))</f>
        <v>20.02697209</v>
      </c>
      <c r="I20" s="23">
        <f>IF(I10=0, 0, ABS((I10/Baseline!H8)*20))</f>
        <v>20.06409636</v>
      </c>
      <c r="J20" s="23">
        <f>IF(J10=0, 0, ABS((J10/Baseline!H10)*20))</f>
        <v>0</v>
      </c>
      <c r="K20" s="23">
        <f>IF(K10=0, 0, ABS((K10/Baseline!H11)*20))</f>
        <v>20.35239012</v>
      </c>
      <c r="L20" s="23">
        <f>IF(L10=0, 0, ABS((L10/Baseline!H12)*20))</f>
        <v>20.18649691</v>
      </c>
      <c r="M20" s="23">
        <f>IF(M10=0, 0, ABS((M10/Baseline!H13)*20))</f>
        <v>21.57955927</v>
      </c>
      <c r="N20" s="23">
        <f>IF(N10=0, 0, ABS((N10/Baseline!H14)*20))</f>
        <v>20</v>
      </c>
    </row>
    <row r="21">
      <c r="B21" s="6" t="s">
        <v>31</v>
      </c>
      <c r="C21" s="23">
        <f>(C11/Baseline!J2)</f>
        <v>1.00000016</v>
      </c>
      <c r="D21" s="23">
        <f>(D11/Baseline!J3)</f>
        <v>0.9999989054</v>
      </c>
      <c r="E21" s="23">
        <f>(E11/Baseline!J4)</f>
        <v>1.000000023</v>
      </c>
      <c r="F21" s="23">
        <f>(F11/Baseline!J5)</f>
        <v>0.9999981933</v>
      </c>
      <c r="G21" s="23">
        <f>(G11/Baseline!J6)</f>
        <v>1.009602925</v>
      </c>
      <c r="H21" s="23">
        <f>(H11/Baseline!J7)</f>
        <v>1.00955117</v>
      </c>
      <c r="I21" s="23">
        <f>(I11/Baseline!J8)</f>
        <v>1.00012211</v>
      </c>
      <c r="J21" s="23">
        <f>(J11/Baseline!J10)</f>
        <v>1</v>
      </c>
      <c r="K21" s="23">
        <f>(K11/Baseline!J11)</f>
        <v>1.001818803</v>
      </c>
      <c r="L21" s="23">
        <f>(L11/Baseline!J12)</f>
        <v>1</v>
      </c>
      <c r="M21" s="23">
        <f>(M11/Baseline!J13)</f>
        <v>1.005412455</v>
      </c>
      <c r="N21" s="23">
        <f>(N11/Baseline!J14)</f>
        <v>1</v>
      </c>
    </row>
    <row r="22">
      <c r="B22" s="6" t="s">
        <v>25</v>
      </c>
      <c r="C22" s="23">
        <f>IF(C12=0, 0, ABS((C12-Baseline!K2)))</f>
        <v>0</v>
      </c>
      <c r="D22" s="23">
        <f>IF(D12=0, 0, ABS((D12-Baseline!K3)))</f>
        <v>0</v>
      </c>
      <c r="E22" s="23">
        <f>IF(E12=0, 0, ABS(E12-Baseline!K4))</f>
        <v>0</v>
      </c>
      <c r="F22" s="23">
        <f>IF(F12=0, 0, ABS(F12-Baseline!K5))</f>
        <v>0</v>
      </c>
      <c r="G22" s="23">
        <f>IF(G12=0, 0, ABS(G12-Baseline!K6))</f>
        <v>0</v>
      </c>
      <c r="H22" s="23">
        <f>IF(H12=0, 0, ABS(H12-Baseline!K7))</f>
        <v>0</v>
      </c>
      <c r="I22" s="23">
        <f>IF(I12=0, 0, ABS(I12-Baseline!K8))</f>
        <v>0</v>
      </c>
      <c r="J22" s="23">
        <f>IF(J12=0, 0, ABS(J12-Baseline!K10))</f>
        <v>0</v>
      </c>
      <c r="K22" s="23">
        <f>IF(K12=0, 0, ABS(K12-Baseline!K11))</f>
        <v>0</v>
      </c>
      <c r="L22" s="23">
        <f>IF(L12=0, 0, ABS(L12-Baseline!K12))</f>
        <v>0</v>
      </c>
      <c r="M22" s="23">
        <f>IF(M12=0, 0, ABS(M12-Baseline!K13))</f>
        <v>0</v>
      </c>
      <c r="N22" s="23">
        <f>IF(N12=0, 0, ABS(N12-Baseline!K14))</f>
        <v>0</v>
      </c>
    </row>
    <row r="23">
      <c r="B23" s="28" t="s">
        <v>44</v>
      </c>
      <c r="C23" s="24">
        <f t="shared" ref="C23:N23" si="2">sum(C18:C22)</f>
        <v>25.51392588</v>
      </c>
      <c r="D23" s="24">
        <f t="shared" si="2"/>
        <v>46.12780439</v>
      </c>
      <c r="E23" s="24">
        <f t="shared" si="2"/>
        <v>49.60334305</v>
      </c>
      <c r="F23" s="24">
        <f t="shared" si="2"/>
        <v>48.93214774</v>
      </c>
      <c r="G23" s="24">
        <f t="shared" si="2"/>
        <v>48.18648594</v>
      </c>
      <c r="H23" s="24">
        <f t="shared" si="2"/>
        <v>50.87861076</v>
      </c>
      <c r="I23" s="24">
        <f t="shared" si="2"/>
        <v>49.58950669</v>
      </c>
      <c r="J23" s="24">
        <f t="shared" si="2"/>
        <v>31</v>
      </c>
      <c r="K23" s="24">
        <f t="shared" si="2"/>
        <v>51.47107119</v>
      </c>
      <c r="L23" s="24">
        <f t="shared" si="2"/>
        <v>44.47088295</v>
      </c>
      <c r="M23" s="24">
        <f t="shared" si="2"/>
        <v>47.5167371</v>
      </c>
      <c r="N23" s="24">
        <f t="shared" si="2"/>
        <v>51</v>
      </c>
    </row>
  </sheetData>
  <dataValidations>
    <dataValidation type="custom" allowBlank="1" showDropDown="1" sqref="C2:N13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5"/>
    <col customWidth="1" min="4" max="4" width="16.63"/>
    <col customWidth="1" min="5" max="5" width="23.0"/>
    <col customWidth="1" min="7" max="7" width="22.5"/>
    <col customWidth="1" min="8" max="8" width="29.75"/>
    <col customWidth="1" min="9" max="9" width="23.38"/>
    <col customWidth="1" min="10" max="10" width="16.75"/>
    <col customWidth="1" min="11" max="11" width="22.38"/>
    <col customWidth="1" min="12" max="12" width="12.13"/>
    <col customWidth="1" min="14" max="14" width="14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9" t="s">
        <v>8</v>
      </c>
      <c r="J1" s="3" t="s">
        <v>9</v>
      </c>
      <c r="K1" s="4" t="s">
        <v>10</v>
      </c>
      <c r="L1" s="4" t="s">
        <v>11</v>
      </c>
      <c r="M1" s="3" t="s">
        <v>12</v>
      </c>
      <c r="N1" s="5" t="s">
        <v>13</v>
      </c>
      <c r="O1" s="6"/>
    </row>
    <row r="2">
      <c r="A2" s="44" t="s">
        <v>14</v>
      </c>
      <c r="B2" s="45" t="s">
        <v>15</v>
      </c>
      <c r="C2" s="46"/>
      <c r="D2" s="46"/>
      <c r="E2" s="46"/>
      <c r="F2" s="46"/>
      <c r="G2" s="46"/>
      <c r="H2" s="46"/>
      <c r="I2" s="9"/>
      <c r="J2" s="46"/>
      <c r="K2" s="46"/>
      <c r="L2" s="9"/>
      <c r="M2" s="9"/>
      <c r="N2" s="9"/>
      <c r="O2" s="6"/>
    </row>
    <row r="3">
      <c r="A3" s="47"/>
      <c r="B3" s="45"/>
      <c r="C3" s="46"/>
      <c r="D3" s="46"/>
      <c r="E3" s="46"/>
      <c r="F3" s="46"/>
      <c r="G3" s="46"/>
      <c r="H3" s="46"/>
      <c r="I3" s="9"/>
      <c r="J3" s="46"/>
      <c r="K3" s="46"/>
      <c r="L3" s="9"/>
      <c r="M3" s="9"/>
      <c r="N3" s="9"/>
      <c r="O3" s="6"/>
    </row>
    <row r="4">
      <c r="A4" s="44" t="s">
        <v>16</v>
      </c>
      <c r="B4" s="45"/>
      <c r="C4" s="33" t="s">
        <v>15</v>
      </c>
      <c r="D4" s="33" t="s">
        <v>15</v>
      </c>
      <c r="E4" s="33" t="s">
        <v>15</v>
      </c>
      <c r="F4" s="48" t="s">
        <v>15</v>
      </c>
      <c r="G4" s="33" t="s">
        <v>15</v>
      </c>
      <c r="H4" s="33" t="s">
        <v>15</v>
      </c>
      <c r="I4" s="11" t="s">
        <v>15</v>
      </c>
      <c r="J4" s="33" t="s">
        <v>15</v>
      </c>
      <c r="K4" s="33" t="s">
        <v>15</v>
      </c>
      <c r="L4" s="9" t="s">
        <v>15</v>
      </c>
      <c r="M4" s="9" t="s">
        <v>15</v>
      </c>
      <c r="N4" s="11" t="s">
        <v>15</v>
      </c>
      <c r="O4" s="6"/>
    </row>
    <row r="5">
      <c r="A5" s="49" t="s">
        <v>46</v>
      </c>
      <c r="B5" s="45"/>
      <c r="C5" s="50">
        <v>572.0</v>
      </c>
      <c r="D5" s="50">
        <v>698.0</v>
      </c>
      <c r="E5" s="50">
        <v>324.0</v>
      </c>
      <c r="F5" s="50">
        <v>2849.0</v>
      </c>
      <c r="G5" s="50">
        <v>326.0</v>
      </c>
      <c r="H5" s="50">
        <v>2494.0</v>
      </c>
      <c r="I5" s="13">
        <v>2315.0</v>
      </c>
      <c r="J5" s="50">
        <v>113.0</v>
      </c>
      <c r="K5" s="50">
        <v>5681.0</v>
      </c>
      <c r="L5" s="13">
        <v>2972.0</v>
      </c>
      <c r="M5" s="13">
        <v>4340.0</v>
      </c>
      <c r="N5" s="13">
        <v>389.0</v>
      </c>
      <c r="O5" s="6"/>
    </row>
    <row r="6">
      <c r="A6" s="44" t="s">
        <v>18</v>
      </c>
      <c r="B6" s="45"/>
      <c r="C6" s="48" t="s">
        <v>19</v>
      </c>
      <c r="D6" s="48" t="s">
        <v>19</v>
      </c>
      <c r="E6" s="48" t="s">
        <v>19</v>
      </c>
      <c r="F6" s="48" t="s">
        <v>19</v>
      </c>
      <c r="G6" s="48" t="s">
        <v>19</v>
      </c>
      <c r="H6" s="48" t="s">
        <v>19</v>
      </c>
      <c r="I6" s="11" t="s">
        <v>19</v>
      </c>
      <c r="J6" s="48" t="s">
        <v>19</v>
      </c>
      <c r="K6" s="48" t="s">
        <v>19</v>
      </c>
      <c r="L6" s="11" t="s">
        <v>19</v>
      </c>
      <c r="M6" s="11" t="s">
        <v>19</v>
      </c>
      <c r="N6" s="11" t="s">
        <v>19</v>
      </c>
      <c r="O6" s="6"/>
    </row>
    <row r="7">
      <c r="A7" s="49" t="s">
        <v>20</v>
      </c>
      <c r="B7" s="45"/>
      <c r="C7" s="14">
        <f>1 + MIN(0.2, MAX(-0.2, 0.02*LOG(C5 / runtimes!B10, 2)))</f>
        <v>0.9708297167</v>
      </c>
      <c r="D7" s="14">
        <f>1 + MIN(0.2, MAX(-0.2, 0.02*LOG(D5 / runtimes!C10, 2)))</f>
        <v>0.9757519388</v>
      </c>
      <c r="E7" s="14">
        <f>1 + MIN(0.2, MAX(-0.2, 0.02*LOG(E5 / runtimes!D10, 2)))</f>
        <v>1.020843389</v>
      </c>
      <c r="F7" s="14">
        <f>1 + MIN(0.2, MAX(-0.2, 0.02*LOG(F5 / runtimes!E10, 2)))</f>
        <v>1.004862392</v>
      </c>
      <c r="G7" s="14">
        <f>1 + MIN(0.2, MAX(-0.2, 0.02*LOG(G5 / runtimes!F10, 2)))</f>
        <v>0.9773049648</v>
      </c>
      <c r="H7" s="15">
        <f>1 + MIN(0.2, MAX(-0.2, 0.02*LOG(H5 / runtimes!G10, 2)))</f>
        <v>1.010674125</v>
      </c>
      <c r="I7" s="15">
        <f>1 + MIN(0.2, MAX(-0.2, 0.02*LOG(I5 / runtimes!H10, 2)))</f>
        <v>0.9826719654</v>
      </c>
      <c r="J7" s="14">
        <f>1 + MIN(0.2, MAX(-0.2, 0.02*LOG(J5 / runtimes!I10, 2)))</f>
        <v>0.9209765411</v>
      </c>
      <c r="K7" s="14">
        <f>1 + MIN(0.2, MAX(-0.2, 0.02*LOG(K5 / runtimes!J10, 2)))</f>
        <v>1.041976931</v>
      </c>
      <c r="L7" s="15">
        <f>1 + MIN(0.2, MAX(-0.2, 0.02*LOG(L5 / runtimes!K10, 2)))</f>
        <v>0.9902225456</v>
      </c>
      <c r="M7" s="15">
        <f>1 + MIN(0.2, MAX(-0.2, 0.02*LOG(M5 / runtimes!L10, 2)))</f>
        <v>1.027082837</v>
      </c>
      <c r="N7" s="15">
        <f>1 + MIN(0.2, MAX(-0.2, 0.02*LOG(N5 / runtimes!M10, 2)))</f>
        <v>1.020163647</v>
      </c>
      <c r="O7" s="6"/>
    </row>
    <row r="8">
      <c r="A8" s="44" t="s">
        <v>21</v>
      </c>
      <c r="B8" s="45"/>
      <c r="C8" s="50">
        <v>-18.1122999999999</v>
      </c>
      <c r="D8" s="40">
        <v>-170.69894</v>
      </c>
      <c r="E8" s="50">
        <v>-5.51422999999999</v>
      </c>
      <c r="F8" s="40">
        <v>-135.2267</v>
      </c>
      <c r="G8" s="40">
        <v>0.0</v>
      </c>
      <c r="H8" s="40">
        <v>-180.95067</v>
      </c>
      <c r="I8" s="40">
        <v>0.0</v>
      </c>
      <c r="J8" s="40">
        <v>-3.30427</v>
      </c>
      <c r="K8" s="40">
        <v>-124.04342</v>
      </c>
      <c r="L8" s="40">
        <v>-1159.2175</v>
      </c>
      <c r="M8" s="40">
        <v>-4566.3595</v>
      </c>
      <c r="N8" s="40">
        <v>-3.35857</v>
      </c>
      <c r="O8" s="6"/>
    </row>
    <row r="9">
      <c r="A9" s="47" t="s">
        <v>22</v>
      </c>
      <c r="B9" s="45"/>
      <c r="C9" s="50">
        <v>0.0</v>
      </c>
      <c r="D9" s="40">
        <v>4.86405579702697</v>
      </c>
      <c r="E9" s="50">
        <v>27.042441896885</v>
      </c>
      <c r="F9" s="40">
        <v>0.70120317885447</v>
      </c>
      <c r="G9" s="51">
        <v>805.438230555566</v>
      </c>
      <c r="H9" s="40">
        <v>9.74614908222371</v>
      </c>
      <c r="I9" s="40">
        <v>133.020859577337</v>
      </c>
      <c r="J9" s="40">
        <v>0.0</v>
      </c>
      <c r="K9" s="40">
        <v>77.4744874088018</v>
      </c>
      <c r="L9" s="40">
        <v>343.221532639326</v>
      </c>
      <c r="M9" s="40">
        <v>2063.56394236162</v>
      </c>
      <c r="N9" s="40">
        <v>33.7084379853358</v>
      </c>
      <c r="O9" s="6"/>
    </row>
    <row r="10">
      <c r="A10" s="44" t="s">
        <v>23</v>
      </c>
      <c r="B10" s="45"/>
      <c r="C10" s="50">
        <v>0.0</v>
      </c>
      <c r="D10" s="40">
        <v>0.0</v>
      </c>
      <c r="E10" s="50">
        <v>280.326705858618</v>
      </c>
      <c r="F10" s="40">
        <v>0.0</v>
      </c>
      <c r="G10" s="51">
        <v>7018.00618656365</v>
      </c>
      <c r="H10" s="40">
        <v>0.0</v>
      </c>
      <c r="I10" s="40">
        <v>238.718475596786</v>
      </c>
      <c r="J10" s="40">
        <v>0.0</v>
      </c>
      <c r="K10" s="40">
        <v>39.7080846393886</v>
      </c>
      <c r="L10" s="40">
        <v>2555.47278081363</v>
      </c>
      <c r="M10" s="40">
        <v>1560.71490908966</v>
      </c>
      <c r="N10" s="40">
        <v>305.412320122087</v>
      </c>
      <c r="O10" s="6"/>
    </row>
    <row r="11">
      <c r="A11" s="47" t="s">
        <v>24</v>
      </c>
      <c r="B11" s="45"/>
      <c r="C11" s="50">
        <v>82.7556759621433</v>
      </c>
      <c r="D11" s="40">
        <v>31.9643628423982</v>
      </c>
      <c r="E11" s="50">
        <v>161.5115469324</v>
      </c>
      <c r="F11" s="40">
        <v>6.37196315237396</v>
      </c>
      <c r="G11" s="51">
        <v>567.799793453626</v>
      </c>
      <c r="H11" s="40">
        <v>91.976576092617</v>
      </c>
      <c r="I11" s="40">
        <v>16902.9854713768</v>
      </c>
      <c r="J11" s="40">
        <v>12.9303349314704</v>
      </c>
      <c r="K11" s="40">
        <v>29.9986401613841</v>
      </c>
      <c r="L11" s="40">
        <v>17535.8006674022</v>
      </c>
      <c r="M11" s="40">
        <v>3146.74249644656</v>
      </c>
      <c r="N11" s="40">
        <v>128.901261312334</v>
      </c>
      <c r="O11" s="6"/>
    </row>
    <row r="12">
      <c r="A12" s="44" t="s">
        <v>25</v>
      </c>
      <c r="B12" s="45"/>
      <c r="C12" s="50">
        <v>0.0</v>
      </c>
      <c r="D12" s="40">
        <v>468158.0</v>
      </c>
      <c r="E12" s="50">
        <v>0.0</v>
      </c>
      <c r="F12" s="40">
        <v>0.0</v>
      </c>
      <c r="G12" s="40">
        <v>0.0</v>
      </c>
      <c r="H12" s="40">
        <v>0.0</v>
      </c>
      <c r="I12" s="40">
        <v>0.0</v>
      </c>
      <c r="J12" s="40">
        <v>0.0</v>
      </c>
      <c r="K12" s="40">
        <v>0.0</v>
      </c>
      <c r="L12" s="40">
        <v>0.0</v>
      </c>
      <c r="M12" s="40">
        <v>0.0</v>
      </c>
      <c r="N12" s="40">
        <v>0.0</v>
      </c>
      <c r="O12" s="6"/>
    </row>
    <row r="13">
      <c r="A13" s="52" t="s">
        <v>26</v>
      </c>
      <c r="B13" s="45"/>
      <c r="C13" s="18">
        <f t="shared" ref="C13:N13" si="1">SUM(C18:C22)*C7</f>
        <v>10.78210151</v>
      </c>
      <c r="D13" s="18">
        <f t="shared" si="1"/>
        <v>456905.2217</v>
      </c>
      <c r="E13" s="18">
        <f t="shared" si="1"/>
        <v>32.47420457</v>
      </c>
      <c r="F13" s="18">
        <f t="shared" si="1"/>
        <v>23.8263675</v>
      </c>
      <c r="G13" s="18">
        <f t="shared" si="1"/>
        <v>30.14759624</v>
      </c>
      <c r="H13" s="19">
        <f t="shared" si="1"/>
        <v>5.001881813</v>
      </c>
      <c r="I13" s="19">
        <f t="shared" si="1"/>
        <v>1.113180431</v>
      </c>
      <c r="J13" s="18">
        <f t="shared" si="1"/>
        <v>72.20476485</v>
      </c>
      <c r="K13" s="18">
        <f t="shared" si="1"/>
        <v>9.788036291</v>
      </c>
      <c r="L13" s="19">
        <f t="shared" si="1"/>
        <v>7.438938773</v>
      </c>
      <c r="M13" s="19">
        <f t="shared" si="1"/>
        <v>48.80362512</v>
      </c>
      <c r="N13" s="19">
        <f t="shared" si="1"/>
        <v>43.0797067</v>
      </c>
      <c r="O13" s="6"/>
    </row>
    <row r="14">
      <c r="A14" s="53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</row>
    <row r="15">
      <c r="A15" s="53"/>
      <c r="B15" s="53"/>
      <c r="C15" s="53"/>
      <c r="D15" s="53"/>
      <c r="E15" s="53"/>
      <c r="F15" s="54"/>
      <c r="G15" s="54"/>
      <c r="H15" s="54"/>
      <c r="I15" s="54"/>
      <c r="J15" s="54"/>
      <c r="K15" s="54"/>
      <c r="L15" s="54"/>
      <c r="M15" s="54"/>
      <c r="N15" s="54"/>
      <c r="O15" s="54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>
      <c r="A17" s="21" t="s">
        <v>27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>
      <c r="A18" s="6"/>
      <c r="B18" s="6" t="s">
        <v>28</v>
      </c>
      <c r="C18" s="23">
        <f>IF(C8&gt;=0, 0, ABS((C8/Baseline!E2))*10)</f>
        <v>10.1065207</v>
      </c>
      <c r="D18" s="23">
        <f>IF(D8&gt;=0, 0, ABS((D8/Baseline!E3)*10))</f>
        <v>90.577129</v>
      </c>
      <c r="E18" s="23">
        <f>IF(E8&gt;=0, 0, ABS((E8/Baseline!E4)*10))</f>
        <v>4.631393728</v>
      </c>
      <c r="F18" s="23">
        <f>IF(F8&gt;=0, 0, ABS((F8/Baseline!E5)*10))</f>
        <v>22.79053031</v>
      </c>
      <c r="G18" s="23">
        <f>IF(G8&gt;=0, 0, ABS((G8/Baseline!E6)*10))</f>
        <v>0</v>
      </c>
      <c r="H18" s="23">
        <f>IF(H8&gt;=0, 0, ABS((H8/Baseline!E7)*10))</f>
        <v>4.627809629</v>
      </c>
      <c r="I18" s="23">
        <f>IF(I8&gt;=0, 0, ABS((I8/Baseline!E8)*10))</f>
        <v>0</v>
      </c>
      <c r="J18" s="23">
        <f>IF(J8&gt;=0, 0, ABS((J8/Baseline!E10)*10))</f>
        <v>78.15577842</v>
      </c>
      <c r="K18" s="23">
        <f>IF(K8&gt;=0, 0, ABS((K8/Baseline!E11)*10))</f>
        <v>8.922683312</v>
      </c>
      <c r="L18" s="23">
        <f>IF(L8&gt;=0, 0, ABS((L8/Baseline!E12)*10))</f>
        <v>3.28166576</v>
      </c>
      <c r="M18" s="23">
        <f>IF(M8&gt;=0, 0, ABS((M8/Baseline!E13)*10))</f>
        <v>3.321482964</v>
      </c>
      <c r="N18" s="23">
        <f>IF(N8&gt;=0, 0, ABS((N8/Baseline!E14)*10))</f>
        <v>4.598399733</v>
      </c>
    </row>
    <row r="19">
      <c r="A19" s="6"/>
      <c r="B19" s="6" t="s">
        <v>29</v>
      </c>
      <c r="C19" s="23">
        <f>IF(C9&lt;=0, 0, ABS((C9/Baseline!F2))*20)</f>
        <v>0</v>
      </c>
      <c r="D19" s="23">
        <f>IF(D9&lt;=0, 0, ABS((D9/Baseline!F3)*20))</f>
        <v>9.958246675</v>
      </c>
      <c r="E19" s="23">
        <f>IF(E9&lt;=0, 0, ABS((E9/Baseline!F4)*20))</f>
        <v>9.924323553</v>
      </c>
      <c r="F19" s="23">
        <f>IF(F9&lt;=0, 0, ABS((F9/Baseline!F5)*20))</f>
        <v>0.5896006246</v>
      </c>
      <c r="G19" s="23">
        <f>IF(G9&lt;=0, 0, ABS((G9/Baseline!F6)*20))</f>
        <v>11.62150928</v>
      </c>
      <c r="H19" s="23">
        <f>IF(H9&lt;=0, 0, ABS((H9/Baseline!F7)*20))</f>
        <v>0.1625130428</v>
      </c>
      <c r="I19" s="23">
        <f>IF(I9&lt;=0, 0, ABS((I9/Baseline!F8)*20))</f>
        <v>0.1275687021</v>
      </c>
      <c r="J19" s="23">
        <f>IF(J9&lt;=0, 0, ABS((J9/Baseline!F10)*20))</f>
        <v>0</v>
      </c>
      <c r="K19" s="23">
        <f>IF(K9&lt;=0, 0, ABS((K9/Baseline!F11)*20))</f>
        <v>0.2863968077</v>
      </c>
      <c r="L19" s="23">
        <f>IF(L9&lt;=0, 0, ABS((L9/Baseline!F12)*20))</f>
        <v>0.3928603298</v>
      </c>
      <c r="M19" s="23">
        <f>IF(M9&lt;=0, 0, ABS((M9/Baseline!F13)*20))</f>
        <v>21.6102824</v>
      </c>
      <c r="N19" s="23">
        <f>IF(N9&lt;=0, 0, ABS((N9/Baseline!F14)*20))</f>
        <v>16.15503424</v>
      </c>
    </row>
    <row r="20">
      <c r="B20" s="6" t="s">
        <v>30</v>
      </c>
      <c r="C20" s="23">
        <f>IF(C10=0, 0, ABS((C10/Baseline!H2))*20)</f>
        <v>0</v>
      </c>
      <c r="D20" s="23">
        <f>IF(D10=0, 0, ABS((D10/Baseline!H3)*20))</f>
        <v>0</v>
      </c>
      <c r="E20" s="23">
        <f>IF(E10=0, 0, ABS((E10/Baseline!H4)*20))</f>
        <v>16.25426755</v>
      </c>
      <c r="F20" s="23">
        <f>IF(F10=0, 0, ABS((F10/Baseline!H5)*20))</f>
        <v>0</v>
      </c>
      <c r="G20" s="23">
        <f>IF(G10=0, 0, ABS((G10/Baseline!H6)*20))</f>
        <v>18.24693016</v>
      </c>
      <c r="H20" s="23">
        <f>IF(H10=0, 0, ABS((H10/Baseline!H7)*20))</f>
        <v>0</v>
      </c>
      <c r="I20" s="23">
        <f>IF(I10=0, 0, ABS((I10/Baseline!H8)*20))</f>
        <v>0.07135715421</v>
      </c>
      <c r="J20" s="23">
        <f>IF(J10=0, 0, ABS((J10/Baseline!H10)*20))</f>
        <v>0</v>
      </c>
      <c r="K20" s="23">
        <f>IF(K10=0, 0, ABS((K10/Baseline!H11)*20))</f>
        <v>0.09819370901</v>
      </c>
      <c r="L20" s="23">
        <f>IF(L10=0, 0, ABS((L10/Baseline!H12)*20))</f>
        <v>2.838053223</v>
      </c>
      <c r="M20" s="23">
        <f>IF(M10=0, 0, ABS((M10/Baseline!H13)*20))</f>
        <v>21.57955927</v>
      </c>
      <c r="N20" s="23">
        <f>IF(N10=0, 0, ABS((N10/Baseline!H14)*20))</f>
        <v>20.48003906</v>
      </c>
    </row>
    <row r="21">
      <c r="B21" s="6" t="s">
        <v>31</v>
      </c>
      <c r="C21" s="23">
        <f>(C11/Baseline!J2)</f>
        <v>0.9995479812</v>
      </c>
      <c r="D21" s="23">
        <f>(D11/Baseline!J3)</f>
        <v>1.073977503</v>
      </c>
      <c r="E21" s="23">
        <f>(E11/Baseline!J4)</f>
        <v>1.001167513</v>
      </c>
      <c r="F21" s="23">
        <f>(F11/Baseline!J5)</f>
        <v>0.3309440245</v>
      </c>
      <c r="G21" s="23">
        <f>(G11/Baseline!J6)</f>
        <v>0.9792461035</v>
      </c>
      <c r="H21" s="23">
        <f>(H11/Baseline!J7)</f>
        <v>0.1587323117</v>
      </c>
      <c r="I21" s="23">
        <f>(I11/Baseline!J8)</f>
        <v>0.933883942</v>
      </c>
      <c r="J21" s="23">
        <f>(J11/Baseline!J10)</f>
        <v>0.2444431147</v>
      </c>
      <c r="K21" s="23">
        <f>(K11/Baseline!J11)</f>
        <v>0.08644305872</v>
      </c>
      <c r="L21" s="23">
        <f>(L11/Baseline!J12)</f>
        <v>0.9998115198</v>
      </c>
      <c r="M21" s="23">
        <f>(M11/Baseline!J13)</f>
        <v>1.005412455</v>
      </c>
      <c r="N21" s="23">
        <f>(N11/Baseline!J14)</f>
        <v>0.994758506</v>
      </c>
    </row>
    <row r="22">
      <c r="B22" s="6" t="s">
        <v>25</v>
      </c>
      <c r="C22" s="23">
        <f>IF(C12=0, 0, ABS((C12-Baseline!K2)))</f>
        <v>0</v>
      </c>
      <c r="D22" s="23">
        <f>IF(D12=0, 0, ABS((D12-Baseline!K3)))</f>
        <v>468158</v>
      </c>
      <c r="E22" s="23">
        <f>IF(E12=0, 0, ABS(E12-Baseline!K4))</f>
        <v>0</v>
      </c>
      <c r="F22" s="23">
        <f>IF(F12=0, 0, ABS(F12-Baseline!K5))</f>
        <v>0</v>
      </c>
      <c r="G22" s="23">
        <f>IF(G12=0, 0, ABS(G12-Baseline!K6))</f>
        <v>0</v>
      </c>
      <c r="H22" s="23">
        <f>IF(H12=0, 0, ABS(H12-Baseline!K7))</f>
        <v>0</v>
      </c>
      <c r="I22" s="23">
        <f>IF(I12=0, 0, ABS(I12-Baseline!K8))</f>
        <v>0</v>
      </c>
      <c r="J22" s="23">
        <f>IF(J12=0, 0, ABS(J12-Baseline!K10))</f>
        <v>0</v>
      </c>
      <c r="K22" s="23">
        <f>IF(K12=0, 0, ABS(K12-Baseline!K11))</f>
        <v>0</v>
      </c>
      <c r="L22" s="23">
        <f>IF(L12=0, 0, ABS(L12-Baseline!K12))</f>
        <v>0</v>
      </c>
      <c r="M22" s="23">
        <f>IF(M12=0, 0, ABS(M12-Baseline!K13))</f>
        <v>0</v>
      </c>
      <c r="N22" s="23">
        <f>IF(N12=0, 0, ABS(N12-Baseline!K14))</f>
        <v>0</v>
      </c>
    </row>
    <row r="23">
      <c r="C23" s="24">
        <f t="shared" ref="C23:L23" si="2">sum(C18:C22)</f>
        <v>11.10606868</v>
      </c>
      <c r="D23" s="24">
        <f t="shared" si="2"/>
        <v>468259.6094</v>
      </c>
      <c r="E23" s="24">
        <f t="shared" si="2"/>
        <v>31.81115234</v>
      </c>
      <c r="F23" s="24">
        <f t="shared" si="2"/>
        <v>23.71107496</v>
      </c>
      <c r="G23" s="24">
        <f t="shared" si="2"/>
        <v>30.84768555</v>
      </c>
      <c r="H23" s="24">
        <f t="shared" si="2"/>
        <v>4.949054983</v>
      </c>
      <c r="I23" s="24">
        <f t="shared" si="2"/>
        <v>1.132809798</v>
      </c>
      <c r="J23" s="24">
        <f t="shared" si="2"/>
        <v>78.40022153</v>
      </c>
      <c r="K23" s="24">
        <f t="shared" si="2"/>
        <v>9.393716887</v>
      </c>
      <c r="L23" s="24">
        <f t="shared" si="2"/>
        <v>7.512390832</v>
      </c>
    </row>
    <row r="36">
      <c r="M36" s="28" t="s">
        <v>47</v>
      </c>
    </row>
    <row r="47">
      <c r="A47" s="55"/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6"/>
      <c r="N47" s="6"/>
    </row>
    <row r="48">
      <c r="B48" s="56"/>
      <c r="C48" s="57"/>
      <c r="D48" s="57"/>
      <c r="E48" s="57"/>
      <c r="F48" s="57"/>
      <c r="G48" s="57"/>
      <c r="H48" s="57"/>
      <c r="I48" s="57"/>
      <c r="J48" s="57"/>
      <c r="K48" s="57"/>
      <c r="L48" s="57"/>
      <c r="N48" s="6"/>
      <c r="O48" s="6"/>
    </row>
  </sheetData>
  <dataValidations>
    <dataValidation type="custom" allowBlank="1" showDropDown="1" sqref="C2:N13">
      <formula1>AND(ISNUMBER(C2),(NOT(OR(NOT(ISERROR(DATEVALUE(C2))), AND(ISNUMBER(C2), LEFT(CELL("format", C2))="D")))))</formula1>
    </dataValidation>
  </dataValidations>
  <drawing r:id="rId1"/>
  <tableParts count="2"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5"/>
    <col customWidth="1" min="4" max="4" width="16.75"/>
    <col customWidth="1" min="5" max="5" width="22.63"/>
    <col customWidth="1" min="6" max="6" width="11.13"/>
    <col customWidth="1" min="7" max="7" width="21.5"/>
    <col customWidth="1" min="8" max="8" width="22.88"/>
    <col customWidth="1" min="9" max="9" width="25.75"/>
    <col customWidth="1" min="10" max="10" width="16.75"/>
    <col customWidth="1" min="11" max="11" width="18.5"/>
    <col customWidth="1" min="12" max="12" width="11.0"/>
    <col customWidth="1" min="14" max="14" width="25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9" t="s">
        <v>8</v>
      </c>
      <c r="J1" s="3" t="s">
        <v>9</v>
      </c>
      <c r="K1" s="4" t="s">
        <v>10</v>
      </c>
      <c r="L1" s="4" t="s">
        <v>11</v>
      </c>
      <c r="M1" s="3" t="s">
        <v>12</v>
      </c>
      <c r="N1" s="5" t="s">
        <v>13</v>
      </c>
      <c r="O1" s="6"/>
    </row>
    <row r="2">
      <c r="A2" s="7" t="s">
        <v>14</v>
      </c>
      <c r="B2" s="8" t="s">
        <v>15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36"/>
      <c r="O2" s="6"/>
    </row>
    <row r="3">
      <c r="A3" s="10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36"/>
      <c r="O3" s="6"/>
    </row>
    <row r="4">
      <c r="A4" s="7" t="s">
        <v>16</v>
      </c>
      <c r="B4" s="8"/>
      <c r="C4" s="11" t="s">
        <v>15</v>
      </c>
      <c r="D4" s="11" t="s">
        <v>15</v>
      </c>
      <c r="E4" s="11" t="s">
        <v>15</v>
      </c>
      <c r="F4" s="11" t="s">
        <v>15</v>
      </c>
      <c r="G4" s="11" t="s">
        <v>15</v>
      </c>
      <c r="H4" s="11" t="s">
        <v>15</v>
      </c>
      <c r="I4" s="11" t="s">
        <v>15</v>
      </c>
      <c r="J4" s="11" t="s">
        <v>15</v>
      </c>
      <c r="K4" s="11" t="s">
        <v>43</v>
      </c>
      <c r="L4" s="11" t="s">
        <v>43</v>
      </c>
      <c r="M4" s="11" t="s">
        <v>43</v>
      </c>
      <c r="N4" s="11" t="s">
        <v>15</v>
      </c>
      <c r="O4" s="6"/>
    </row>
    <row r="5">
      <c r="A5" s="12" t="s">
        <v>46</v>
      </c>
      <c r="B5" s="8"/>
      <c r="C5" s="13">
        <v>111.0</v>
      </c>
      <c r="D5" s="13">
        <v>159.0</v>
      </c>
      <c r="E5" s="13">
        <v>205.0</v>
      </c>
      <c r="F5" s="13">
        <v>746.0</v>
      </c>
      <c r="G5" s="13">
        <v>2059.0</v>
      </c>
      <c r="H5" s="13">
        <v>1530.0</v>
      </c>
      <c r="I5" s="37">
        <v>20458.0</v>
      </c>
      <c r="J5" s="13">
        <v>22.0</v>
      </c>
      <c r="K5" s="13">
        <v>398.0</v>
      </c>
      <c r="L5" s="13">
        <v>13215.0</v>
      </c>
      <c r="M5" s="37">
        <v>14771.0</v>
      </c>
      <c r="N5" s="38">
        <v>90.0</v>
      </c>
      <c r="O5" s="6"/>
    </row>
    <row r="6">
      <c r="A6" s="7" t="s">
        <v>18</v>
      </c>
      <c r="B6" s="8"/>
      <c r="C6" s="11" t="s">
        <v>19</v>
      </c>
      <c r="D6" s="11" t="s">
        <v>19</v>
      </c>
      <c r="E6" s="11" t="s">
        <v>19</v>
      </c>
      <c r="F6" s="11" t="s">
        <v>19</v>
      </c>
      <c r="G6" s="11" t="s">
        <v>19</v>
      </c>
      <c r="H6" s="11" t="s">
        <v>19</v>
      </c>
      <c r="I6" s="11" t="s">
        <v>19</v>
      </c>
      <c r="J6" s="11" t="s">
        <v>19</v>
      </c>
      <c r="K6" s="11" t="s">
        <v>19</v>
      </c>
      <c r="L6" s="11" t="s">
        <v>19</v>
      </c>
      <c r="M6" s="11" t="s">
        <v>19</v>
      </c>
      <c r="N6" s="11" t="s">
        <v>19</v>
      </c>
      <c r="O6" s="6"/>
    </row>
    <row r="7">
      <c r="A7" s="12" t="s">
        <v>20</v>
      </c>
      <c r="B7" s="8"/>
      <c r="C7" s="14">
        <f>1 + MIN(0.2, MAX(-0.2, 0.02*LOG(C5 / runtimes!B10, 2)))</f>
        <v>0.9235206073</v>
      </c>
      <c r="D7" s="14">
        <f>1 + MIN(0.2, MAX(-0.2, 0.02*LOG(D5 / runtimes!C10, 2)))</f>
        <v>0.9330679334</v>
      </c>
      <c r="E7" s="14">
        <f>1 + MIN(0.2, MAX(-0.2, 0.02*LOG(E5 / runtimes!D10, 2)))</f>
        <v>1.007635991</v>
      </c>
      <c r="F7" s="14">
        <f>1 + MIN(0.2, MAX(-0.2, 0.02*LOG(F5 / runtimes!E10, 2)))</f>
        <v>0.96619823</v>
      </c>
      <c r="G7" s="14">
        <f>1 + MIN(0.2, MAX(-0.2, 0.02*LOG(G5 / runtimes!F10, 2)))</f>
        <v>1.030484964</v>
      </c>
      <c r="H7" s="15">
        <f>1 + MIN(0.2, MAX(-0.2, 0.02*LOG(H5 / runtimes!G10, 2)))</f>
        <v>0.9965755285</v>
      </c>
      <c r="I7" s="15">
        <f>1 + MIN(0.2, MAX(-0.2, 0.02*LOG(I5 / runtimes!H10, 2)))</f>
        <v>1.045543586</v>
      </c>
      <c r="J7" s="14">
        <f>1 + MIN(0.2, MAX(-0.2, 0.02*LOG(J5 / runtimes!I10, 2)))</f>
        <v>0.8737615942</v>
      </c>
      <c r="K7" s="14">
        <f>1 + MIN(0.2, MAX(-0.2, 0.02*LOG(K5 / runtimes!J10, 2)))</f>
        <v>0.9652708395</v>
      </c>
      <c r="L7" s="15">
        <f>1 + MIN(0.2, MAX(-0.2, 0.02*LOG(L5 / runtimes!K10, 2)))</f>
        <v>1.033275954</v>
      </c>
      <c r="M7" s="15">
        <f>1 + MIN(0.2, MAX(-0.2, 0.02*LOG(M5 / runtimes!L10, 2)))</f>
        <v>1.062422848</v>
      </c>
      <c r="N7" s="39">
        <f>1 + MIN(0.2, MAX(-0.2, 0.02*LOG(N5 / runtimes!M10, 2)))</f>
        <v>0.9779281822</v>
      </c>
      <c r="O7" s="6"/>
    </row>
    <row r="8">
      <c r="A8" s="7" t="s">
        <v>21</v>
      </c>
      <c r="B8" s="8"/>
      <c r="C8" s="13">
        <v>-19.30989</v>
      </c>
      <c r="D8" s="40">
        <v>-1.91102</v>
      </c>
      <c r="E8" s="13">
        <v>-4.95788</v>
      </c>
      <c r="F8" s="40">
        <v>-25.9826899999999</v>
      </c>
      <c r="G8" s="13">
        <v>-10.31421</v>
      </c>
      <c r="H8" s="13">
        <v>-9.59595</v>
      </c>
      <c r="I8" s="40">
        <v>-0.45862</v>
      </c>
      <c r="J8" s="40">
        <v>-0.00648</v>
      </c>
      <c r="K8" s="40">
        <v>-2.75048999999999</v>
      </c>
      <c r="L8" s="40">
        <v>-2392.097</v>
      </c>
      <c r="M8" s="40">
        <v>-9194.465</v>
      </c>
      <c r="N8" s="41">
        <v>-2.79914</v>
      </c>
      <c r="O8" s="6"/>
    </row>
    <row r="9">
      <c r="A9" s="10" t="s">
        <v>22</v>
      </c>
      <c r="B9" s="8"/>
      <c r="C9" s="13">
        <v>0.969340441248078</v>
      </c>
      <c r="D9" s="40">
        <v>1.50691162326133</v>
      </c>
      <c r="E9" s="13">
        <v>12.8974024515837</v>
      </c>
      <c r="F9" s="40">
        <v>21.283523138349</v>
      </c>
      <c r="G9" s="13">
        <v>1106.38316072608</v>
      </c>
      <c r="H9" s="13">
        <v>995.868012915178</v>
      </c>
      <c r="I9" s="40">
        <v>19054.5831933453</v>
      </c>
      <c r="J9" s="40">
        <v>0.153893009446903</v>
      </c>
      <c r="K9" s="40">
        <v>4473.06505968468</v>
      </c>
      <c r="L9" s="40">
        <v>16177.8092320764</v>
      </c>
      <c r="M9" s="40">
        <v>2228.83536746265</v>
      </c>
      <c r="N9" s="41">
        <v>30.6678626660339</v>
      </c>
      <c r="O9" s="6"/>
    </row>
    <row r="10">
      <c r="A10" s="7" t="s">
        <v>23</v>
      </c>
      <c r="B10" s="8"/>
      <c r="C10" s="13">
        <v>0.0</v>
      </c>
      <c r="D10" s="40">
        <v>10.8333057558277</v>
      </c>
      <c r="E10" s="13">
        <v>253.272880099131</v>
      </c>
      <c r="F10" s="40">
        <v>4.49010640680199</v>
      </c>
      <c r="G10" s="13">
        <v>7534.50352510097</v>
      </c>
      <c r="H10" s="13">
        <v>7314.74833334181</v>
      </c>
      <c r="I10" s="40">
        <v>67047.6715935856</v>
      </c>
      <c r="J10" s="40">
        <v>0.0</v>
      </c>
      <c r="K10" s="40">
        <v>5693.24566772344</v>
      </c>
      <c r="L10" s="40">
        <v>19324.9643108054</v>
      </c>
      <c r="M10" s="40">
        <v>4614.77814207194</v>
      </c>
      <c r="N10" s="41">
        <v>58.5669547256174</v>
      </c>
      <c r="O10" s="6"/>
    </row>
    <row r="11">
      <c r="A11" s="10" t="s">
        <v>24</v>
      </c>
      <c r="B11" s="8"/>
      <c r="C11" s="13">
        <v>83.6618255061661</v>
      </c>
      <c r="D11" s="40">
        <v>41.6081024074655</v>
      </c>
      <c r="E11" s="13">
        <v>162.289124490588</v>
      </c>
      <c r="F11" s="40">
        <v>43.8944968595522</v>
      </c>
      <c r="G11" s="13">
        <v>558.834701999053</v>
      </c>
      <c r="H11" s="13">
        <v>560.051820824493</v>
      </c>
      <c r="I11" s="40">
        <v>18101.9571380022</v>
      </c>
      <c r="J11" s="40">
        <v>52.8999627807528</v>
      </c>
      <c r="K11" s="40">
        <v>349.089231054206</v>
      </c>
      <c r="L11" s="40">
        <v>17546.4980137913</v>
      </c>
      <c r="M11" s="40">
        <v>3154.42069877777</v>
      </c>
      <c r="N11" s="41">
        <v>131.125162256898</v>
      </c>
      <c r="O11" s="6"/>
    </row>
    <row r="12">
      <c r="A12" s="7" t="s">
        <v>25</v>
      </c>
      <c r="B12" s="8"/>
      <c r="C12" s="13">
        <v>0.0</v>
      </c>
      <c r="D12" s="40">
        <v>0.0</v>
      </c>
      <c r="E12" s="13">
        <v>0.0</v>
      </c>
      <c r="F12" s="40">
        <v>0.0</v>
      </c>
      <c r="G12" s="13">
        <v>0.0</v>
      </c>
      <c r="H12" s="13">
        <v>0.0</v>
      </c>
      <c r="I12" s="40">
        <v>0.0</v>
      </c>
      <c r="J12" s="40">
        <v>0.0</v>
      </c>
      <c r="K12" s="40">
        <v>0.0</v>
      </c>
      <c r="L12" s="40">
        <v>0.0</v>
      </c>
      <c r="M12" s="40">
        <v>0.0</v>
      </c>
      <c r="N12" s="41">
        <v>0.0</v>
      </c>
      <c r="O12" s="6"/>
    </row>
    <row r="13">
      <c r="A13" s="17" t="s">
        <v>26</v>
      </c>
      <c r="B13" s="8"/>
      <c r="C13" s="18">
        <f t="shared" ref="C13:N13" si="1">SUM(C18:C22)*C7</f>
        <v>46.25358098</v>
      </c>
      <c r="D13" s="18">
        <f t="shared" si="1"/>
        <v>35.80943337</v>
      </c>
      <c r="E13" s="18">
        <f t="shared" si="1"/>
        <v>24.77668818</v>
      </c>
      <c r="F13" s="18">
        <f t="shared" si="1"/>
        <v>42.8112264</v>
      </c>
      <c r="G13" s="18">
        <f t="shared" si="1"/>
        <v>37.77289542</v>
      </c>
      <c r="H13" s="19">
        <f t="shared" si="1"/>
        <v>37.2398676</v>
      </c>
      <c r="I13" s="19">
        <f t="shared" si="1"/>
        <v>41.36072628</v>
      </c>
      <c r="J13" s="18">
        <f t="shared" si="1"/>
        <v>2.512041853</v>
      </c>
      <c r="K13" s="18">
        <f t="shared" si="1"/>
        <v>30.71292823</v>
      </c>
      <c r="L13" s="19">
        <f t="shared" si="1"/>
        <v>49.34070257</v>
      </c>
      <c r="M13" s="19">
        <f t="shared" si="1"/>
        <v>100.7644537</v>
      </c>
      <c r="N13" s="42">
        <f t="shared" si="1"/>
        <v>22.9514997</v>
      </c>
      <c r="O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>
      <c r="A17" s="21" t="s">
        <v>27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>
      <c r="A18" s="6"/>
      <c r="B18" s="6" t="s">
        <v>28</v>
      </c>
      <c r="C18" s="23">
        <f>IF(C8&gt;=0, 0, ABS((C8/Baseline!E2))*10)</f>
        <v>10.77476648</v>
      </c>
      <c r="D18" s="23">
        <f>IF(D8&gt;=0, 0, ABS((D8/Baseline!E3)*10))</f>
        <v>1.014035032</v>
      </c>
      <c r="E18" s="23">
        <f>IF(E8&gt;=0, 0, ABS((E8/Baseline!E4)*10))</f>
        <v>4.164116175</v>
      </c>
      <c r="F18" s="23">
        <f>IF(F8&gt;=0, 0, ABS((F8/Baseline!E5)*10))</f>
        <v>4.379011572</v>
      </c>
      <c r="G18" s="23">
        <f>IF(G8&gt;=0, 0, ABS((G8/Baseline!E6)*10))</f>
        <v>0.1380546417</v>
      </c>
      <c r="H18" s="23">
        <f>IF(H8&gt;=0, 0, ABS((H8/Baseline!E7)*10))</f>
        <v>0.245416222</v>
      </c>
      <c r="I18" s="23">
        <f>IF(I8&gt;=0, 0, ABS((I8/Baseline!E8)*10))</f>
        <v>0.2436202537</v>
      </c>
      <c r="J18" s="23">
        <f>IF(J8&gt;=0, 0, ABS((J8/Baseline!E10)*10))</f>
        <v>0.1532712049</v>
      </c>
      <c r="K18" s="23">
        <f>IF(K8&gt;=0, 0, ABS((K8/Baseline!E11)*10))</f>
        <v>0.1978480698</v>
      </c>
      <c r="L18" s="23">
        <f>IF(L8&gt;=0, 0, ABS((L8/Baseline!E12)*10))</f>
        <v>6.771863623</v>
      </c>
      <c r="M18" s="23">
        <f>IF(M8&gt;=0, 0, ABS((M8/Baseline!E13)*10))</f>
        <v>6.687878793</v>
      </c>
      <c r="N18" s="23">
        <f>IF(N8&gt;=0, 0, ABS((N8/Baseline!E14)*10))</f>
        <v>3.83245388</v>
      </c>
    </row>
    <row r="19">
      <c r="A19" s="6"/>
      <c r="B19" s="6" t="s">
        <v>29</v>
      </c>
      <c r="C19" s="23">
        <f>IF(C9&lt;=0, 0, ABS((C9/Baseline!F2))*20)</f>
        <v>38.2987136</v>
      </c>
      <c r="D19" s="23">
        <f>IF(D9&lt;=0, 0, ABS((D9/Baseline!F3)*20))</f>
        <v>3.085120378</v>
      </c>
      <c r="E19" s="23">
        <f>IF(E9&lt;=0, 0, ABS((E9/Baseline!F4)*20))</f>
        <v>4.733226215</v>
      </c>
      <c r="F19" s="23">
        <f>IF(F9&lt;=0, 0, ABS((F9/Baseline!F5)*20))</f>
        <v>17.89606624</v>
      </c>
      <c r="G19" s="23">
        <f>IF(G9&lt;=0, 0, ABS((G9/Baseline!F6)*20))</f>
        <v>15.96378429</v>
      </c>
      <c r="H19" s="23">
        <f>IF(H9&lt;=0, 0, ABS((H9/Baseline!F7)*20))</f>
        <v>16.60569109</v>
      </c>
      <c r="I19" s="23">
        <f>IF(I9&lt;=0, 0, ABS((I9/Baseline!F8)*20))</f>
        <v>18.27358848</v>
      </c>
      <c r="J19" s="23">
        <f>IF(J9&lt;=0, 0, ABS((J9/Baseline!F10)*20))</f>
        <v>1.721648897</v>
      </c>
      <c r="K19" s="23">
        <f>IF(K9&lt;=0, 0, ABS((K9/Baseline!F11)*20))</f>
        <v>16.5353989</v>
      </c>
      <c r="L19" s="23">
        <f>IF(L9&lt;=0, 0, ABS((L9/Baseline!F12)*20))</f>
        <v>18.51754294</v>
      </c>
      <c r="M19" s="23">
        <f>IF(M9&lt;=0, 0, ABS((M9/Baseline!F13)*20))</f>
        <v>23.34105609</v>
      </c>
      <c r="N19" s="23">
        <f>IF(N9&lt;=0, 0, ABS((N9/Baseline!F14)*20))</f>
        <v>14.69781458</v>
      </c>
    </row>
    <row r="20">
      <c r="B20" s="6" t="s">
        <v>30</v>
      </c>
      <c r="C20" s="23">
        <f>IF(C10=0, 0, ABS((C10/Baseline!H2))*20)</f>
        <v>0</v>
      </c>
      <c r="D20" s="23">
        <f>IF(D10=0, 0, ABS((D10/Baseline!H3)*20))</f>
        <v>32.88100815</v>
      </c>
      <c r="E20" s="23">
        <f>IF(E10=0, 0, ABS((E10/Baseline!H4)*20))</f>
        <v>14.68559745</v>
      </c>
      <c r="F20" s="23">
        <f>IF(F10=0, 0, ABS((F10/Baseline!H5)*20))</f>
        <v>19.7540977</v>
      </c>
      <c r="G20" s="23">
        <f>IF(G10=0, 0, ABS((G10/Baseline!H6)*20))</f>
        <v>19.58983164</v>
      </c>
      <c r="H20" s="23">
        <f>IF(H10=0, 0, ABS((H10/Baseline!H7)*20))</f>
        <v>19.5501932</v>
      </c>
      <c r="I20" s="23">
        <f>IF(I10=0, 0, ABS((I10/Baseline!H8)*20))</f>
        <v>20.04172919</v>
      </c>
      <c r="J20" s="23">
        <f>IF(J10=0, 0, ABS((J10/Baseline!H10)*20))</f>
        <v>0</v>
      </c>
      <c r="K20" s="23">
        <f>IF(K10=0, 0, ABS((K10/Baseline!H11)*20))</f>
        <v>14.07876793</v>
      </c>
      <c r="L20" s="23">
        <f>IF(L10=0, 0, ABS((L10/Baseline!H12)*20))</f>
        <v>21.46189059</v>
      </c>
      <c r="M20" s="23">
        <f>IF(M10=0, 0, ABS((M10/Baseline!H13)*20))</f>
        <v>63.80721929</v>
      </c>
      <c r="N20" s="23">
        <f>IF(N10=0, 0, ABS((N10/Baseline!H14)*20))</f>
        <v>3.927325264</v>
      </c>
    </row>
    <row r="21">
      <c r="B21" s="6" t="s">
        <v>31</v>
      </c>
      <c r="C21" s="23">
        <f>(C11/Baseline!J2)</f>
        <v>1.010492728</v>
      </c>
      <c r="D21" s="23">
        <f>(D11/Baseline!J3)</f>
        <v>1.397999584</v>
      </c>
      <c r="E21" s="23">
        <f>(E11/Baseline!J4)</f>
        <v>1.005987511</v>
      </c>
      <c r="F21" s="23">
        <f>(F11/Baseline!J5)</f>
        <v>2.279771727</v>
      </c>
      <c r="G21" s="23">
        <f>(G11/Baseline!J6)</f>
        <v>0.9637846134</v>
      </c>
      <c r="H21" s="23">
        <f>(H11/Baseline!J7)</f>
        <v>0.9665321754</v>
      </c>
      <c r="I21" s="23">
        <f>(I11/Baseline!J8)</f>
        <v>1.000126701</v>
      </c>
      <c r="J21" s="23">
        <f>(J11/Baseline!J10)</f>
        <v>1.000053884</v>
      </c>
      <c r="K21" s="23">
        <f>(K11/Baseline!J11)</f>
        <v>1.005923626</v>
      </c>
      <c r="L21" s="23">
        <f>(L11/Baseline!J12)</f>
        <v>1.000421434</v>
      </c>
      <c r="M21" s="23">
        <f>(M11/Baseline!J13)</f>
        <v>1.00786571</v>
      </c>
      <c r="N21" s="23">
        <f>(N11/Baseline!J14)</f>
        <v>1.011920824</v>
      </c>
    </row>
    <row r="22">
      <c r="B22" s="6" t="s">
        <v>25</v>
      </c>
      <c r="C22" s="23">
        <f>IF(C12=0, 0, ABS((C12-Baseline!K2)))</f>
        <v>0</v>
      </c>
      <c r="D22" s="23">
        <f>IF(D12=0, 0, ABS((D12-Baseline!K3)))</f>
        <v>0</v>
      </c>
      <c r="E22" s="23">
        <f>IF(E12=0, 0, ABS(E12-Baseline!K4))</f>
        <v>0</v>
      </c>
      <c r="F22" s="23">
        <f>IF(F12=0, 0, ABS(F12-Baseline!K5))</f>
        <v>0</v>
      </c>
      <c r="G22" s="23">
        <f>IF(G12=0, 0, ABS(G12-Baseline!K6))</f>
        <v>0</v>
      </c>
      <c r="H22" s="23">
        <f>IF(H12=0, 0, ABS(H12-Baseline!K7))</f>
        <v>0</v>
      </c>
      <c r="I22" s="23">
        <f>IF(I12=0, 0, ABS(I12-Baseline!K8))</f>
        <v>0</v>
      </c>
      <c r="J22" s="23">
        <f>IF(J12=0, 0, ABS(J12-Baseline!K10))</f>
        <v>0</v>
      </c>
      <c r="K22" s="23">
        <f>IF(K12=0, 0, ABS(K12-Baseline!K11))</f>
        <v>0</v>
      </c>
      <c r="L22" s="23">
        <f>IF(L12=0, 0, ABS(L12-Baseline!K12))</f>
        <v>0</v>
      </c>
      <c r="M22" s="23">
        <f>IF(M12=0, 0, ABS(M12-Baseline!K13))</f>
        <v>0</v>
      </c>
      <c r="N22" s="23">
        <f>IF(N12=0, 0, ABS(N12-Baseline!K14))</f>
        <v>0</v>
      </c>
    </row>
    <row r="23">
      <c r="C23" s="24">
        <f t="shared" ref="C23:L23" si="2">sum(C18:C22)</f>
        <v>50.08397281</v>
      </c>
      <c r="D23" s="24">
        <f t="shared" si="2"/>
        <v>38.37816315</v>
      </c>
      <c r="E23" s="24">
        <f t="shared" si="2"/>
        <v>24.58892735</v>
      </c>
      <c r="F23" s="24">
        <f t="shared" si="2"/>
        <v>44.30894724</v>
      </c>
      <c r="G23" s="24">
        <f t="shared" si="2"/>
        <v>36.65545519</v>
      </c>
      <c r="H23" s="24">
        <f t="shared" si="2"/>
        <v>37.36783268</v>
      </c>
      <c r="I23" s="24">
        <f t="shared" si="2"/>
        <v>39.55906463</v>
      </c>
      <c r="J23" s="24">
        <f t="shared" si="2"/>
        <v>2.874973986</v>
      </c>
      <c r="K23" s="24">
        <f t="shared" si="2"/>
        <v>31.81793852</v>
      </c>
      <c r="L23" s="24">
        <f t="shared" si="2"/>
        <v>47.75171859</v>
      </c>
    </row>
  </sheetData>
  <dataValidations>
    <dataValidation type="custom" allowBlank="1" showDropDown="1" sqref="C2:N13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</cols>
  <sheetData>
    <row r="1">
      <c r="A1" s="6"/>
      <c r="B1" s="6" t="s">
        <v>48</v>
      </c>
      <c r="C1" s="6" t="s">
        <v>49</v>
      </c>
      <c r="D1" s="6" t="s">
        <v>50</v>
      </c>
      <c r="E1" s="6" t="s">
        <v>21</v>
      </c>
      <c r="F1" s="6" t="s">
        <v>51</v>
      </c>
      <c r="G1" s="6" t="s">
        <v>52</v>
      </c>
      <c r="H1" s="6" t="s">
        <v>53</v>
      </c>
      <c r="I1" s="6" t="s">
        <v>54</v>
      </c>
      <c r="J1" s="6" t="s">
        <v>55</v>
      </c>
      <c r="K1" s="6" t="s">
        <v>25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>
      <c r="A2" s="6" t="s">
        <v>2</v>
      </c>
      <c r="B2" s="58">
        <v>8029.0</v>
      </c>
      <c r="C2" s="58">
        <v>0.12</v>
      </c>
      <c r="D2" s="58">
        <v>-0.0676</v>
      </c>
      <c r="E2" s="58">
        <v>-17.9214</v>
      </c>
      <c r="F2" s="58">
        <v>0.5062</v>
      </c>
      <c r="G2" s="58">
        <v>15.0</v>
      </c>
      <c r="H2" s="58">
        <v>0.0</v>
      </c>
      <c r="I2" s="58">
        <v>0.0</v>
      </c>
      <c r="J2" s="58">
        <v>82.7931</v>
      </c>
      <c r="K2" s="58">
        <v>0.0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6" t="s">
        <v>3</v>
      </c>
      <c r="B3" s="58">
        <v>10965.0</v>
      </c>
      <c r="C3" s="58">
        <v>0.32</v>
      </c>
      <c r="D3" s="58">
        <v>-0.1605</v>
      </c>
      <c r="E3" s="58">
        <v>-18.8457</v>
      </c>
      <c r="F3" s="58">
        <v>9.7689</v>
      </c>
      <c r="G3" s="58">
        <v>183.0</v>
      </c>
      <c r="H3" s="58">
        <v>6.5894</v>
      </c>
      <c r="I3" s="58">
        <v>5.0</v>
      </c>
      <c r="J3" s="58">
        <v>29.7626</v>
      </c>
      <c r="K3" s="58">
        <v>0.0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6" t="s">
        <v>4</v>
      </c>
      <c r="B4" s="58">
        <v>17843.0</v>
      </c>
      <c r="C4" s="58">
        <v>0.4</v>
      </c>
      <c r="D4" s="58">
        <v>-0.2086</v>
      </c>
      <c r="E4" s="58">
        <v>-11.9062</v>
      </c>
      <c r="F4" s="58">
        <v>54.4973</v>
      </c>
      <c r="G4" s="58">
        <v>368.0</v>
      </c>
      <c r="H4" s="58">
        <v>344.9269</v>
      </c>
      <c r="I4" s="58">
        <v>9.0</v>
      </c>
      <c r="J4" s="58">
        <v>161.3232</v>
      </c>
      <c r="K4" s="58">
        <v>0.0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6" t="s">
        <v>56</v>
      </c>
      <c r="B5" s="58">
        <v>19725.0</v>
      </c>
      <c r="C5" s="58">
        <v>3.68</v>
      </c>
      <c r="D5" s="58">
        <v>-1.2077</v>
      </c>
      <c r="E5" s="58">
        <v>-59.3346</v>
      </c>
      <c r="F5" s="58">
        <v>23.7857</v>
      </c>
      <c r="G5" s="58">
        <v>124.0</v>
      </c>
      <c r="H5" s="58">
        <v>4.546</v>
      </c>
      <c r="I5" s="58">
        <v>1.0</v>
      </c>
      <c r="J5" s="58">
        <v>19.2539</v>
      </c>
      <c r="K5" s="58">
        <v>0.0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6" t="s">
        <v>6</v>
      </c>
      <c r="B6" s="58">
        <v>58216.0</v>
      </c>
      <c r="C6" s="58">
        <v>1.0</v>
      </c>
      <c r="D6" s="58">
        <v>-0.4919</v>
      </c>
      <c r="E6" s="58">
        <v>-747.1107</v>
      </c>
      <c r="F6" s="58">
        <v>1386.1164</v>
      </c>
      <c r="G6" s="58">
        <v>13422.0</v>
      </c>
      <c r="H6" s="58">
        <v>7692.2596</v>
      </c>
      <c r="I6" s="58">
        <v>141.0</v>
      </c>
      <c r="J6" s="58">
        <v>579.8336</v>
      </c>
      <c r="K6" s="58">
        <v>0.0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28" t="s">
        <v>7</v>
      </c>
      <c r="B7" s="28">
        <v>58026.0</v>
      </c>
      <c r="C7" s="28">
        <v>1.2</v>
      </c>
      <c r="D7" s="28">
        <v>-0.43075</v>
      </c>
      <c r="E7" s="28">
        <v>-391.00716</v>
      </c>
      <c r="F7" s="28">
        <v>1199.42977089282</v>
      </c>
      <c r="G7" s="28">
        <v>12346.0</v>
      </c>
      <c r="H7" s="28">
        <v>7483.04455069025</v>
      </c>
      <c r="I7" s="28">
        <v>132.0</v>
      </c>
      <c r="J7" s="28">
        <v>579.444570055911</v>
      </c>
      <c r="K7" s="28">
        <v>0.0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6" t="s">
        <v>8</v>
      </c>
      <c r="B8" s="58">
        <v>155686.0</v>
      </c>
      <c r="C8" s="58">
        <v>3.0</v>
      </c>
      <c r="D8" s="58">
        <v>-0.7218</v>
      </c>
      <c r="E8" s="58">
        <v>-18.8252</v>
      </c>
      <c r="F8" s="58">
        <v>20854.7798</v>
      </c>
      <c r="G8" s="58">
        <v>80297.0</v>
      </c>
      <c r="H8" s="58">
        <v>66908.0706</v>
      </c>
      <c r="I8" s="58">
        <v>1307.0</v>
      </c>
      <c r="J8" s="58">
        <v>18099.6639</v>
      </c>
      <c r="K8" s="58">
        <v>0.0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6" t="s">
        <v>9</v>
      </c>
      <c r="B10" s="58">
        <v>12130.0</v>
      </c>
      <c r="C10" s="58">
        <v>0.6</v>
      </c>
      <c r="D10" s="58">
        <v>-0.42278</v>
      </c>
      <c r="E10" s="58">
        <v>-0.42278</v>
      </c>
      <c r="F10" s="58">
        <v>1.7877397617827</v>
      </c>
      <c r="G10" s="58">
        <v>1.0</v>
      </c>
      <c r="H10" s="58">
        <v>0.0</v>
      </c>
      <c r="I10" s="58">
        <v>0.0</v>
      </c>
      <c r="J10" s="58">
        <v>52.8971124710765</v>
      </c>
      <c r="K10" s="58">
        <v>0.0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6" t="s">
        <v>10</v>
      </c>
      <c r="B11" s="58">
        <v>32795.0</v>
      </c>
      <c r="C11" s="58">
        <v>0.8</v>
      </c>
      <c r="D11" s="58">
        <v>-0.33787</v>
      </c>
      <c r="E11" s="58">
        <v>-139.02031</v>
      </c>
      <c r="F11" s="58">
        <v>5410.28987235962</v>
      </c>
      <c r="G11" s="58">
        <v>27844.0</v>
      </c>
      <c r="H11" s="58">
        <v>8087.70440382914</v>
      </c>
      <c r="I11" s="58">
        <v>278.0</v>
      </c>
      <c r="J11" s="58">
        <v>347.033534047173</v>
      </c>
      <c r="K11" s="58">
        <v>0.0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6" t="s">
        <v>11</v>
      </c>
      <c r="B12" s="58">
        <v>112896.0</v>
      </c>
      <c r="C12" s="58">
        <v>2.5</v>
      </c>
      <c r="D12" s="58">
        <v>-0.985309999999999</v>
      </c>
      <c r="E12" s="58">
        <v>-3532.40575</v>
      </c>
      <c r="F12" s="58">
        <v>17472.9544648868</v>
      </c>
      <c r="G12" s="58">
        <v>62420.0</v>
      </c>
      <c r="H12" s="58">
        <v>18008.631835859</v>
      </c>
      <c r="I12" s="58">
        <v>1916.0</v>
      </c>
      <c r="J12" s="58">
        <v>17539.1064409357</v>
      </c>
      <c r="K12" s="58">
        <v>0.0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6" t="s">
        <v>12</v>
      </c>
      <c r="B13" s="58">
        <v>150545.0</v>
      </c>
      <c r="C13" s="58">
        <v>3.0</v>
      </c>
      <c r="D13" s="58">
        <v>-1.90656</v>
      </c>
      <c r="E13" s="58">
        <v>-13747.954</v>
      </c>
      <c r="F13" s="58">
        <v>1909.79821892978</v>
      </c>
      <c r="G13" s="58">
        <v>14311.0</v>
      </c>
      <c r="H13" s="58">
        <v>1446.47524006843</v>
      </c>
      <c r="I13" s="58">
        <v>296.0</v>
      </c>
      <c r="J13" s="58">
        <v>3129.80258067759</v>
      </c>
      <c r="K13" s="58">
        <v>0.0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21" t="s">
        <v>13</v>
      </c>
      <c r="B14" s="21">
        <v>15236.0</v>
      </c>
      <c r="C14" s="21">
        <v>0.5</v>
      </c>
      <c r="D14" s="21">
        <v>-0.19602</v>
      </c>
      <c r="E14" s="21">
        <v>-7.30378</v>
      </c>
      <c r="F14" s="21">
        <v>41.7311873113224</v>
      </c>
      <c r="G14" s="21">
        <v>354.0</v>
      </c>
      <c r="H14" s="21">
        <v>298.253649967487</v>
      </c>
      <c r="I14" s="21">
        <v>9.0</v>
      </c>
      <c r="J14" s="21">
        <v>129.580456498263</v>
      </c>
      <c r="K14" s="21">
        <v>0.0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21"/>
      <c r="B22" s="21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59"/>
      <c r="B25" s="60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"/>
      <c r="N25" s="6"/>
    </row>
    <row r="26">
      <c r="A26" s="27"/>
      <c r="B26" s="60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"/>
      <c r="N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21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21"/>
    </row>
    <row r="30">
      <c r="A30" s="21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.13"/>
    <col customWidth="1" min="3" max="3" width="13.5"/>
    <col customWidth="1" min="4" max="4" width="15.25"/>
    <col customWidth="1" min="6" max="6" width="15.13"/>
    <col customWidth="1" min="7" max="7" width="15.5"/>
    <col customWidth="1" min="8" max="8" width="14.5"/>
    <col customWidth="1" min="10" max="10" width="14.75"/>
    <col customWidth="1" min="11" max="11" width="9.25"/>
    <col customWidth="1" min="12" max="12" width="14.25"/>
    <col customWidth="1" min="13" max="13" width="13.5"/>
    <col customWidth="1" min="14" max="14" width="13.63"/>
  </cols>
  <sheetData>
    <row r="1">
      <c r="A1" s="63" t="s">
        <v>57</v>
      </c>
      <c r="B1" s="64" t="s">
        <v>2</v>
      </c>
      <c r="C1" s="64" t="s">
        <v>3</v>
      </c>
      <c r="D1" s="64" t="s">
        <v>4</v>
      </c>
      <c r="E1" s="64" t="s">
        <v>5</v>
      </c>
      <c r="F1" s="64" t="s">
        <v>6</v>
      </c>
      <c r="G1" s="64" t="s">
        <v>7</v>
      </c>
      <c r="H1" s="64" t="s">
        <v>8</v>
      </c>
      <c r="I1" s="65" t="s">
        <v>9</v>
      </c>
      <c r="J1" s="65" t="s">
        <v>10</v>
      </c>
      <c r="K1" s="65" t="s">
        <v>11</v>
      </c>
      <c r="L1" s="65" t="s">
        <v>12</v>
      </c>
      <c r="M1" s="65" t="s">
        <v>13</v>
      </c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</row>
    <row r="2">
      <c r="A2" s="66">
        <v>3.0</v>
      </c>
      <c r="B2" s="67">
        <v>21.41464269700712</v>
      </c>
      <c r="C2" s="67">
        <v>38.67860331294204</v>
      </c>
      <c r="D2" s="67">
        <v>45.14863979776081</v>
      </c>
      <c r="E2" s="67">
        <v>40.46868901735115</v>
      </c>
      <c r="F2" s="67">
        <v>41.752505879217466</v>
      </c>
      <c r="G2" s="67">
        <v>42.99187709847401</v>
      </c>
      <c r="H2" s="67">
        <v>41.3152411310164</v>
      </c>
      <c r="I2" s="67">
        <v>25.924438568598802</v>
      </c>
      <c r="J2" s="67">
        <v>43.45381346288252</v>
      </c>
      <c r="K2" s="67">
        <v>36.729246649133934</v>
      </c>
      <c r="L2" s="68">
        <v>36.701085079121256</v>
      </c>
      <c r="M2" s="69">
        <v>45.88930888645431</v>
      </c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0">
        <v>4.0</v>
      </c>
      <c r="B3" s="67">
        <v>585.6582502385854</v>
      </c>
      <c r="C3" s="67">
        <v>56.414385181820236</v>
      </c>
      <c r="D3" s="67">
        <v>45.972480317491765</v>
      </c>
      <c r="E3" s="58"/>
      <c r="F3" s="67">
        <v>46.677682598245774</v>
      </c>
      <c r="G3" s="67"/>
      <c r="H3" s="67"/>
      <c r="I3" s="67"/>
      <c r="J3" s="67"/>
      <c r="K3" s="67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0">
        <v>11.0</v>
      </c>
      <c r="B4" s="67">
        <v>26.89175814497164</v>
      </c>
      <c r="C4" s="67">
        <v>48.58846819193618</v>
      </c>
      <c r="D4" s="58"/>
      <c r="E4" s="67">
        <v>51.00148929277037</v>
      </c>
      <c r="F4" s="58"/>
      <c r="G4" s="58"/>
      <c r="H4" s="58"/>
      <c r="I4" s="67">
        <v>32.58126988204009</v>
      </c>
      <c r="J4" s="67"/>
      <c r="K4" s="67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70">
        <v>13.0</v>
      </c>
      <c r="B5" s="67">
        <v>21.86086550213195</v>
      </c>
      <c r="C5" s="71">
        <v>30.761552107774666</v>
      </c>
      <c r="D5" s="71">
        <v>9.34463991844056</v>
      </c>
      <c r="E5" s="71">
        <v>6.878275302813784</v>
      </c>
      <c r="F5" s="71">
        <v>22.43963392720695</v>
      </c>
      <c r="G5" s="67">
        <v>23.214595070020884</v>
      </c>
      <c r="H5" s="67">
        <v>9.784325448953524</v>
      </c>
      <c r="I5" s="67">
        <v>2.515729314362373</v>
      </c>
      <c r="J5" s="67">
        <v>30.717530099524296</v>
      </c>
      <c r="K5" s="67"/>
      <c r="L5" s="69"/>
      <c r="M5" s="68">
        <v>22.9514996995591</v>
      </c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70">
        <v>20.0</v>
      </c>
      <c r="B6" s="69">
        <v>22.929979229021153</v>
      </c>
      <c r="C6" s="69">
        <v>42.04026502365875</v>
      </c>
      <c r="D6" s="69">
        <v>50.2775510652055</v>
      </c>
      <c r="E6" s="69">
        <v>44.24427493780045</v>
      </c>
      <c r="F6" s="69">
        <v>46.9445052287609</v>
      </c>
      <c r="G6" s="69">
        <v>48.94645433335237</v>
      </c>
      <c r="H6" s="69">
        <v>47.37839288868492</v>
      </c>
      <c r="I6" s="69">
        <v>28.28499862027451</v>
      </c>
      <c r="J6" s="69">
        <v>48.19415711922671</v>
      </c>
      <c r="K6" s="69">
        <v>41.71255098395434</v>
      </c>
      <c r="L6" s="69">
        <v>46.37827785324094</v>
      </c>
      <c r="M6" s="69">
        <v>52.03965117671625</v>
      </c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70">
        <v>23.0</v>
      </c>
      <c r="B7" s="68">
        <v>10.782101507358263</v>
      </c>
      <c r="C7" s="69">
        <v>456905.22168758546</v>
      </c>
      <c r="D7" s="69">
        <v>32.474204566825605</v>
      </c>
      <c r="E7" s="69">
        <v>23.82636749888861</v>
      </c>
      <c r="F7" s="69">
        <v>30.14759624208285</v>
      </c>
      <c r="G7" s="68">
        <v>5.001881813476746</v>
      </c>
      <c r="H7" s="68">
        <v>1.113180430887066</v>
      </c>
      <c r="I7" s="69">
        <v>72.20476485151536</v>
      </c>
      <c r="J7" s="68">
        <v>9.788036291213382</v>
      </c>
      <c r="K7" s="68">
        <v>7.438938773035664</v>
      </c>
      <c r="L7" s="69">
        <v>48.803625120958834</v>
      </c>
      <c r="M7" s="69">
        <v>43.07970670172598</v>
      </c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70">
        <v>27.0</v>
      </c>
      <c r="B8" s="69">
        <v>46.253580984483605</v>
      </c>
      <c r="C8" s="69">
        <v>35.80943337349785</v>
      </c>
      <c r="D8" s="69">
        <v>24.776688176757567</v>
      </c>
      <c r="E8" s="69">
        <v>42.81122639505101</v>
      </c>
      <c r="F8" s="69">
        <v>37.77289542026447</v>
      </c>
      <c r="G8" s="69">
        <v>37.239867604634576</v>
      </c>
      <c r="H8" s="69"/>
      <c r="I8" s="68">
        <v>2.512041853326624</v>
      </c>
      <c r="J8" s="69">
        <v>30.71292822702032</v>
      </c>
      <c r="K8" s="69">
        <v>49.34070256819953</v>
      </c>
      <c r="L8" s="69"/>
      <c r="M8" s="69">
        <v>22.9514996995591</v>
      </c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72" t="s">
        <v>58</v>
      </c>
      <c r="B10" s="73">
        <f t="shared" ref="B10:M10" si="1">MIN(B2:B8)</f>
        <v>10.78210151</v>
      </c>
      <c r="C10" s="73">
        <f t="shared" si="1"/>
        <v>30.76155211</v>
      </c>
      <c r="D10" s="73">
        <f t="shared" si="1"/>
        <v>9.344639918</v>
      </c>
      <c r="E10" s="73">
        <f t="shared" si="1"/>
        <v>6.878275303</v>
      </c>
      <c r="F10" s="73">
        <f t="shared" si="1"/>
        <v>22.43963393</v>
      </c>
      <c r="G10" s="73">
        <f t="shared" si="1"/>
        <v>5.001881813</v>
      </c>
      <c r="H10" s="73">
        <f t="shared" si="1"/>
        <v>1.113180431</v>
      </c>
      <c r="I10" s="73">
        <f t="shared" si="1"/>
        <v>2.512041853</v>
      </c>
      <c r="J10" s="73">
        <f t="shared" si="1"/>
        <v>9.788036291</v>
      </c>
      <c r="K10" s="73">
        <f t="shared" si="1"/>
        <v>7.438938773</v>
      </c>
      <c r="L10" s="73">
        <f t="shared" si="1"/>
        <v>36.70108508</v>
      </c>
      <c r="M10" s="73">
        <f t="shared" si="1"/>
        <v>22.9514997</v>
      </c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</row>
    <row r="11">
      <c r="A11" s="63" t="s">
        <v>59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75" t="s">
        <v>60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76">
        <v>3.0</v>
      </c>
      <c r="B12" s="77">
        <f t="shared" ref="B12:M12" si="2">100*(B10/B2)</f>
        <v>50.34920106</v>
      </c>
      <c r="C12" s="77">
        <f t="shared" si="2"/>
        <v>79.53118643</v>
      </c>
      <c r="D12" s="77">
        <f t="shared" si="2"/>
        <v>20.69750043</v>
      </c>
      <c r="E12" s="77">
        <f t="shared" si="2"/>
        <v>16.99653601</v>
      </c>
      <c r="F12" s="77">
        <f t="shared" si="2"/>
        <v>53.74440038</v>
      </c>
      <c r="G12" s="77">
        <f t="shared" si="2"/>
        <v>11.6344811</v>
      </c>
      <c r="H12" s="77">
        <f t="shared" si="2"/>
        <v>2.694357822</v>
      </c>
      <c r="I12" s="77">
        <f t="shared" si="2"/>
        <v>9.689860194</v>
      </c>
      <c r="J12" s="77">
        <f t="shared" si="2"/>
        <v>22.52514914</v>
      </c>
      <c r="K12" s="77">
        <f t="shared" si="2"/>
        <v>20.25344773</v>
      </c>
      <c r="L12" s="77">
        <f t="shared" si="2"/>
        <v>100</v>
      </c>
      <c r="M12" s="77">
        <f t="shared" si="2"/>
        <v>50.01491689</v>
      </c>
      <c r="N12" s="78">
        <f t="shared" ref="N12:N18" si="4">SUM(B12:M12)</f>
        <v>438.1310372</v>
      </c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79">
        <v>4.0</v>
      </c>
      <c r="B13" s="77">
        <f t="shared" ref="B13:D13" si="3">100*(B10/B3)</f>
        <v>1.84102273</v>
      </c>
      <c r="C13" s="77">
        <f t="shared" si="3"/>
        <v>54.52785138</v>
      </c>
      <c r="D13" s="77">
        <f t="shared" si="3"/>
        <v>20.32659507</v>
      </c>
      <c r="E13" s="80">
        <v>0.0</v>
      </c>
      <c r="F13" s="77">
        <f>100*(F10/F3)</f>
        <v>48.0735818</v>
      </c>
      <c r="G13" s="80">
        <v>0.0</v>
      </c>
      <c r="H13" s="80">
        <v>0.0</v>
      </c>
      <c r="I13" s="80">
        <v>0.0</v>
      </c>
      <c r="J13" s="80">
        <v>0.0</v>
      </c>
      <c r="K13" s="80">
        <v>0.0</v>
      </c>
      <c r="L13" s="80">
        <v>0.0</v>
      </c>
      <c r="M13" s="80">
        <v>0.0</v>
      </c>
      <c r="N13" s="78">
        <f t="shared" si="4"/>
        <v>124.769051</v>
      </c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79">
        <v>11.0</v>
      </c>
      <c r="B14" s="77">
        <f t="shared" ref="B14:C14" si="5">100*(B10/B4)</f>
        <v>40.09444622</v>
      </c>
      <c r="C14" s="77">
        <f t="shared" si="5"/>
        <v>63.310397</v>
      </c>
      <c r="D14" s="80">
        <v>0.0</v>
      </c>
      <c r="E14" s="77">
        <f>100*(E10/E4)</f>
        <v>13.48642049</v>
      </c>
      <c r="F14" s="80">
        <v>0.0</v>
      </c>
      <c r="G14" s="80">
        <v>0.0</v>
      </c>
      <c r="H14" s="80">
        <v>0.0</v>
      </c>
      <c r="I14" s="77">
        <f>100*(I10/I4)</f>
        <v>7.710079633</v>
      </c>
      <c r="J14" s="80">
        <v>0.0</v>
      </c>
      <c r="K14" s="80">
        <v>0.0</v>
      </c>
      <c r="L14" s="80">
        <v>0.0</v>
      </c>
      <c r="M14" s="80">
        <v>0.0</v>
      </c>
      <c r="N14" s="78">
        <f t="shared" si="4"/>
        <v>124.6013433</v>
      </c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79">
        <v>13.0</v>
      </c>
      <c r="B15" s="77">
        <f t="shared" ref="B15:J15" si="6">100*(B10/B5)</f>
        <v>49.32147589</v>
      </c>
      <c r="C15" s="77">
        <f t="shared" si="6"/>
        <v>100</v>
      </c>
      <c r="D15" s="77">
        <f t="shared" si="6"/>
        <v>100</v>
      </c>
      <c r="E15" s="77">
        <f t="shared" si="6"/>
        <v>100</v>
      </c>
      <c r="F15" s="77">
        <f t="shared" si="6"/>
        <v>100</v>
      </c>
      <c r="G15" s="77">
        <f t="shared" si="6"/>
        <v>21.54628068</v>
      </c>
      <c r="H15" s="77">
        <f t="shared" si="6"/>
        <v>11.37718115</v>
      </c>
      <c r="I15" s="77">
        <f t="shared" si="6"/>
        <v>99.85342378</v>
      </c>
      <c r="J15" s="77">
        <f t="shared" si="6"/>
        <v>31.86465923</v>
      </c>
      <c r="K15" s="80">
        <v>0.0</v>
      </c>
      <c r="L15" s="80">
        <v>0.0</v>
      </c>
      <c r="M15" s="77">
        <f>100*(M10/M5)</f>
        <v>100</v>
      </c>
      <c r="N15" s="81">
        <f t="shared" si="4"/>
        <v>713.9630207</v>
      </c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79">
        <v>20.0</v>
      </c>
      <c r="B16" s="77">
        <f t="shared" ref="B16:M16" si="7">100*(B10/B6)</f>
        <v>47.02185466</v>
      </c>
      <c r="C16" s="77">
        <f t="shared" si="7"/>
        <v>73.17164174</v>
      </c>
      <c r="D16" s="77">
        <f t="shared" si="7"/>
        <v>18.58610796</v>
      </c>
      <c r="E16" s="77">
        <f t="shared" si="7"/>
        <v>15.54613634</v>
      </c>
      <c r="F16" s="77">
        <f t="shared" si="7"/>
        <v>47.80034174</v>
      </c>
      <c r="G16" s="77">
        <f t="shared" si="7"/>
        <v>10.21908917</v>
      </c>
      <c r="H16" s="77">
        <f t="shared" si="7"/>
        <v>2.349552957</v>
      </c>
      <c r="I16" s="77">
        <f t="shared" si="7"/>
        <v>8.881180753</v>
      </c>
      <c r="J16" s="77">
        <f t="shared" si="7"/>
        <v>20.3095912</v>
      </c>
      <c r="K16" s="77">
        <f t="shared" si="7"/>
        <v>17.83381404</v>
      </c>
      <c r="L16" s="77">
        <f t="shared" si="7"/>
        <v>79.13421278</v>
      </c>
      <c r="M16" s="77">
        <f t="shared" si="7"/>
        <v>44.10386922</v>
      </c>
      <c r="N16" s="78">
        <f t="shared" si="4"/>
        <v>384.9573925</v>
      </c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79">
        <v>23.0</v>
      </c>
      <c r="B17" s="77">
        <f t="shared" ref="B17:M17" si="8">100*(B10/B7)</f>
        <v>100</v>
      </c>
      <c r="C17" s="77">
        <f t="shared" si="8"/>
        <v>0.006732589309</v>
      </c>
      <c r="D17" s="77">
        <f t="shared" si="8"/>
        <v>28.77557755</v>
      </c>
      <c r="E17" s="77">
        <f t="shared" si="8"/>
        <v>28.8683338</v>
      </c>
      <c r="F17" s="77">
        <f t="shared" si="8"/>
        <v>74.43258078</v>
      </c>
      <c r="G17" s="77">
        <f t="shared" si="8"/>
        <v>100</v>
      </c>
      <c r="H17" s="77">
        <f t="shared" si="8"/>
        <v>100</v>
      </c>
      <c r="I17" s="77">
        <f t="shared" si="8"/>
        <v>3.479052745</v>
      </c>
      <c r="J17" s="77">
        <f t="shared" si="8"/>
        <v>100</v>
      </c>
      <c r="K17" s="77">
        <f t="shared" si="8"/>
        <v>100</v>
      </c>
      <c r="L17" s="77">
        <f t="shared" si="8"/>
        <v>75.20155519</v>
      </c>
      <c r="M17" s="77">
        <f t="shared" si="8"/>
        <v>53.27682442</v>
      </c>
      <c r="N17" s="82">
        <f t="shared" si="4"/>
        <v>764.0406571</v>
      </c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79">
        <v>27.0</v>
      </c>
      <c r="B18" s="77">
        <f t="shared" ref="B18:G18" si="9">100*(B10/B8)</f>
        <v>23.31084703</v>
      </c>
      <c r="C18" s="77">
        <f t="shared" si="9"/>
        <v>85.90348746</v>
      </c>
      <c r="D18" s="77">
        <f t="shared" si="9"/>
        <v>37.71545193</v>
      </c>
      <c r="E18" s="77">
        <f t="shared" si="9"/>
        <v>16.06652246</v>
      </c>
      <c r="F18" s="77">
        <f t="shared" si="9"/>
        <v>59.40670864</v>
      </c>
      <c r="G18" s="77">
        <f t="shared" si="9"/>
        <v>13.43152416</v>
      </c>
      <c r="H18" s="80">
        <v>0.0</v>
      </c>
      <c r="I18" s="77">
        <f t="shared" ref="I18:K18" si="10">100*(I10/I8)</f>
        <v>100</v>
      </c>
      <c r="J18" s="77">
        <f t="shared" si="10"/>
        <v>31.86943368</v>
      </c>
      <c r="K18" s="77">
        <f t="shared" si="10"/>
        <v>15.07667785</v>
      </c>
      <c r="L18" s="80">
        <v>0.0</v>
      </c>
      <c r="M18" s="77">
        <f>100*(M10/M8)</f>
        <v>100</v>
      </c>
      <c r="N18" s="83">
        <f t="shared" si="4"/>
        <v>482.7806532</v>
      </c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 t="s">
        <v>38</v>
      </c>
      <c r="J29" s="6" t="s">
        <v>9</v>
      </c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 t="s">
        <v>61</v>
      </c>
      <c r="J30" s="6" t="s">
        <v>10</v>
      </c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 t="s">
        <v>62</v>
      </c>
      <c r="J31" s="6" t="s">
        <v>11</v>
      </c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 t="s">
        <v>63</v>
      </c>
      <c r="J32" s="6" t="s">
        <v>12</v>
      </c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21" t="s">
        <v>4</v>
      </c>
      <c r="J33" s="21" t="s">
        <v>13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 t="s">
        <v>59</v>
      </c>
      <c r="B42" s="64" t="s">
        <v>2</v>
      </c>
      <c r="C42" s="64" t="s">
        <v>3</v>
      </c>
      <c r="D42" s="64" t="s">
        <v>4</v>
      </c>
      <c r="E42" s="64" t="s">
        <v>5</v>
      </c>
      <c r="F42" s="64" t="s">
        <v>6</v>
      </c>
      <c r="G42" s="64" t="s">
        <v>7</v>
      </c>
      <c r="H42" s="64" t="s">
        <v>8</v>
      </c>
      <c r="I42" s="65" t="s">
        <v>38</v>
      </c>
      <c r="J42" s="84" t="s">
        <v>61</v>
      </c>
      <c r="K42" s="84" t="s">
        <v>62</v>
      </c>
      <c r="L42" s="65" t="s">
        <v>63</v>
      </c>
      <c r="M42" s="84" t="s">
        <v>64</v>
      </c>
      <c r="N42" s="21" t="s">
        <v>60</v>
      </c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>
        <v>3.0</v>
      </c>
      <c r="B43" s="6">
        <v>50.34920105795253</v>
      </c>
      <c r="C43" s="6">
        <v>79.53118642596309</v>
      </c>
      <c r="D43" s="6">
        <v>20.6975004347839</v>
      </c>
      <c r="E43" s="6">
        <v>16.996536012977067</v>
      </c>
      <c r="F43" s="6">
        <v>53.7444003771194</v>
      </c>
      <c r="G43" s="6">
        <v>11.63448109516085</v>
      </c>
      <c r="H43" s="6">
        <v>2.6806479316289606</v>
      </c>
      <c r="I43" s="6">
        <v>9.689860193807075</v>
      </c>
      <c r="J43" s="6">
        <v>22.525149143870077</v>
      </c>
      <c r="K43" s="6">
        <v>19.553605754976424</v>
      </c>
      <c r="L43" s="6">
        <v>100.0</v>
      </c>
      <c r="M43" s="6">
        <v>50.014916886957</v>
      </c>
      <c r="N43" s="78">
        <v>437.4174853151964</v>
      </c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21">
        <v>4.0</v>
      </c>
      <c r="B44" s="6">
        <v>1.8410227300590152</v>
      </c>
      <c r="C44" s="6">
        <v>54.527851378034164</v>
      </c>
      <c r="D44" s="6">
        <v>20.32659507145426</v>
      </c>
      <c r="E44" s="21">
        <v>0.0</v>
      </c>
      <c r="F44" s="6">
        <v>48.07358180213143</v>
      </c>
      <c r="G44" s="21">
        <v>0.0</v>
      </c>
      <c r="H44" s="21">
        <v>0.0</v>
      </c>
      <c r="I44" s="21">
        <v>0.0</v>
      </c>
      <c r="J44" s="21">
        <v>0.0</v>
      </c>
      <c r="K44" s="21">
        <v>0.0</v>
      </c>
      <c r="L44" s="21">
        <v>0.0</v>
      </c>
      <c r="M44" s="21">
        <v>0.0</v>
      </c>
      <c r="N44" s="78">
        <v>124.76905098167887</v>
      </c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21">
        <v>11.0</v>
      </c>
      <c r="B45" s="6">
        <v>40.094446221153284</v>
      </c>
      <c r="C45" s="6">
        <v>63.3103969984382</v>
      </c>
      <c r="D45" s="21">
        <v>0.0</v>
      </c>
      <c r="E45" s="6">
        <v>13.48642049123221</v>
      </c>
      <c r="F45" s="21">
        <v>0.0</v>
      </c>
      <c r="G45" s="21">
        <v>0.0</v>
      </c>
      <c r="H45" s="21">
        <v>0.0</v>
      </c>
      <c r="I45" s="6">
        <v>7.710079632934589</v>
      </c>
      <c r="J45" s="21">
        <v>0.0</v>
      </c>
      <c r="K45" s="21">
        <v>0.0</v>
      </c>
      <c r="L45" s="21">
        <v>0.0</v>
      </c>
      <c r="M45" s="21">
        <v>0.0</v>
      </c>
      <c r="N45" s="78">
        <v>124.60134334375829</v>
      </c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85">
        <v>13.0</v>
      </c>
      <c r="B46" s="86">
        <v>49.32147588715897</v>
      </c>
      <c r="C46" s="86">
        <v>100.0</v>
      </c>
      <c r="D46" s="86">
        <v>100.0</v>
      </c>
      <c r="E46" s="86">
        <v>100.0</v>
      </c>
      <c r="F46" s="86">
        <v>100.0</v>
      </c>
      <c r="G46" s="86">
        <v>21.54628068415516</v>
      </c>
      <c r="H46" s="86">
        <v>11.365808965977156</v>
      </c>
      <c r="I46" s="86">
        <v>99.85342377597236</v>
      </c>
      <c r="J46" s="86">
        <v>31.864659233669844</v>
      </c>
      <c r="K46" s="86">
        <v>15.928700275812027</v>
      </c>
      <c r="L46" s="86">
        <v>39.51336661734991</v>
      </c>
      <c r="M46" s="86">
        <v>100.0</v>
      </c>
      <c r="N46" s="87">
        <v>769.3937154400954</v>
      </c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</row>
    <row r="47">
      <c r="A47" s="21">
        <v>20.0</v>
      </c>
      <c r="B47" s="6">
        <v>47.021854663138896</v>
      </c>
      <c r="C47" s="6">
        <v>73.17164173551991</v>
      </c>
      <c r="D47" s="6">
        <v>18.586107955658772</v>
      </c>
      <c r="E47" s="6">
        <v>15.546136336245562</v>
      </c>
      <c r="F47" s="6">
        <v>47.800341739376</v>
      </c>
      <c r="G47" s="6">
        <v>10.219089169178977</v>
      </c>
      <c r="H47" s="6">
        <v>2.3340529417501967</v>
      </c>
      <c r="I47" s="6">
        <v>8.881180752563331</v>
      </c>
      <c r="J47" s="6">
        <v>20.309591195876557</v>
      </c>
      <c r="K47" s="6">
        <v>17.21758060135716</v>
      </c>
      <c r="L47" s="6">
        <v>78.78231841373002</v>
      </c>
      <c r="M47" s="6">
        <v>44.103869223912355</v>
      </c>
      <c r="N47" s="78">
        <v>383.9737647283077</v>
      </c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21">
        <v>23.0</v>
      </c>
      <c r="B48" s="6">
        <v>100.0</v>
      </c>
      <c r="C48" s="6">
        <v>0.006732589309037981</v>
      </c>
      <c r="D48" s="6">
        <v>28.775577548669762</v>
      </c>
      <c r="E48" s="6">
        <v>28.868333803441182</v>
      </c>
      <c r="F48" s="6">
        <v>74.43258078361681</v>
      </c>
      <c r="G48" s="6">
        <v>100.0</v>
      </c>
      <c r="H48" s="6">
        <v>100.0</v>
      </c>
      <c r="I48" s="6">
        <v>3.4790527446387824</v>
      </c>
      <c r="J48" s="6">
        <v>100.0</v>
      </c>
      <c r="K48" s="6">
        <v>100.0</v>
      </c>
      <c r="L48" s="6">
        <v>75.92872754187249</v>
      </c>
      <c r="M48" s="6">
        <v>53.276824418675886</v>
      </c>
      <c r="N48" s="78">
        <v>764.767829430224</v>
      </c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21">
        <v>27.0</v>
      </c>
      <c r="B49" s="6">
        <v>23.31084702603949</v>
      </c>
      <c r="C49" s="6">
        <v>85.90348746076762</v>
      </c>
      <c r="D49" s="6">
        <v>37.715451927132655</v>
      </c>
      <c r="E49" s="6">
        <v>16.066522456850045</v>
      </c>
      <c r="F49" s="6">
        <v>59.40670863999611</v>
      </c>
      <c r="G49" s="6">
        <v>13.431524157336833</v>
      </c>
      <c r="H49" s="6">
        <v>2.6712602561150214</v>
      </c>
      <c r="I49" s="6">
        <v>100.0</v>
      </c>
      <c r="J49" s="6">
        <v>31.869433675823068</v>
      </c>
      <c r="K49" s="6">
        <v>14.555715084554397</v>
      </c>
      <c r="L49" s="6">
        <v>36.16432746636115</v>
      </c>
      <c r="M49" s="6">
        <v>100.0</v>
      </c>
      <c r="N49" s="78">
        <v>521.0952781509764</v>
      </c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9.0"/>
    <col customWidth="1" min="6" max="6" width="18.5"/>
    <col customWidth="1" min="11" max="11" width="8.0"/>
    <col customWidth="1" min="13" max="13" width="23.13"/>
  </cols>
  <sheetData>
    <row r="1">
      <c r="A1" s="28" t="s">
        <v>65</v>
      </c>
      <c r="B1" s="88" t="s">
        <v>2</v>
      </c>
      <c r="C1" s="88" t="s">
        <v>3</v>
      </c>
      <c r="D1" s="88" t="s">
        <v>4</v>
      </c>
      <c r="E1" s="88" t="s">
        <v>5</v>
      </c>
      <c r="F1" s="88" t="s">
        <v>6</v>
      </c>
      <c r="G1" s="28" t="s">
        <v>7</v>
      </c>
      <c r="H1" s="88" t="s">
        <v>8</v>
      </c>
      <c r="I1" s="28" t="s">
        <v>38</v>
      </c>
      <c r="J1" s="88" t="s">
        <v>61</v>
      </c>
      <c r="K1" s="88" t="s">
        <v>62</v>
      </c>
      <c r="L1" s="28" t="s">
        <v>63</v>
      </c>
      <c r="M1" s="28" t="s">
        <v>64</v>
      </c>
    </row>
    <row r="2">
      <c r="A2" s="28" t="s">
        <v>66</v>
      </c>
      <c r="B2" s="57">
        <v>6.0</v>
      </c>
      <c r="C2" s="57">
        <v>6.0</v>
      </c>
      <c r="D2" s="57">
        <v>7.0</v>
      </c>
      <c r="E2" s="57">
        <v>6.0</v>
      </c>
      <c r="F2" s="57">
        <v>7.0</v>
      </c>
      <c r="G2" s="57">
        <v>8.0</v>
      </c>
      <c r="H2" s="57">
        <v>13.0</v>
      </c>
      <c r="I2" s="57">
        <v>6.0</v>
      </c>
      <c r="J2" s="57">
        <v>6.0</v>
      </c>
      <c r="K2" s="57">
        <v>10.0</v>
      </c>
      <c r="L2" s="57">
        <v>13.0</v>
      </c>
      <c r="M2" s="89">
        <v>6.0</v>
      </c>
    </row>
    <row r="3">
      <c r="A3" s="28" t="s">
        <v>67</v>
      </c>
      <c r="B3" s="57">
        <v>41.0</v>
      </c>
      <c r="C3" s="57">
        <v>51.0</v>
      </c>
      <c r="D3" s="57">
        <v>68.0</v>
      </c>
      <c r="E3" s="57"/>
      <c r="F3" s="57">
        <v>609.0</v>
      </c>
      <c r="H3" s="57"/>
      <c r="I3" s="57"/>
      <c r="J3" s="57"/>
      <c r="K3" s="57"/>
      <c r="L3" s="90"/>
      <c r="M3" s="91"/>
    </row>
    <row r="4">
      <c r="A4" s="28" t="s">
        <v>68</v>
      </c>
      <c r="B4" s="57">
        <v>10216.0</v>
      </c>
      <c r="C4" s="57">
        <v>10274.0</v>
      </c>
      <c r="D4" s="57"/>
      <c r="E4" s="57">
        <v>10424.0</v>
      </c>
      <c r="F4" s="57"/>
      <c r="G4" s="57"/>
      <c r="H4" s="57"/>
      <c r="I4" s="57">
        <v>10239.0</v>
      </c>
      <c r="J4" s="57"/>
      <c r="K4" s="57"/>
      <c r="L4" s="57"/>
      <c r="M4" s="89"/>
    </row>
    <row r="5">
      <c r="A5" s="28" t="s">
        <v>69</v>
      </c>
      <c r="B5" s="57">
        <v>11.0</v>
      </c>
      <c r="C5" s="57">
        <v>59.0</v>
      </c>
      <c r="D5" s="57">
        <v>88.0</v>
      </c>
      <c r="E5" s="57">
        <v>331.0</v>
      </c>
      <c r="F5" s="57">
        <v>1001.0</v>
      </c>
      <c r="G5" s="57">
        <v>4120.0</v>
      </c>
      <c r="H5" s="57">
        <v>13654.0</v>
      </c>
      <c r="I5" s="57">
        <v>23.0</v>
      </c>
      <c r="J5" s="57">
        <v>400.0</v>
      </c>
      <c r="K5" s="57"/>
      <c r="L5" s="57"/>
      <c r="M5" s="89">
        <v>90.0</v>
      </c>
    </row>
    <row r="6">
      <c r="A6" s="28" t="s">
        <v>70</v>
      </c>
      <c r="B6" s="57">
        <v>47.0</v>
      </c>
      <c r="C6" s="57">
        <v>75.0</v>
      </c>
      <c r="D6" s="57">
        <v>252.0</v>
      </c>
      <c r="E6" s="57">
        <v>87.0</v>
      </c>
      <c r="F6" s="57">
        <v>293.0</v>
      </c>
      <c r="G6" s="57">
        <v>462.0</v>
      </c>
      <c r="H6" s="57">
        <v>900.0</v>
      </c>
      <c r="I6" s="57">
        <v>84.0</v>
      </c>
      <c r="J6" s="57">
        <v>146.0</v>
      </c>
      <c r="K6" s="57">
        <v>486.0</v>
      </c>
      <c r="L6" s="57">
        <v>740.0</v>
      </c>
      <c r="M6" s="89">
        <v>392.0</v>
      </c>
    </row>
    <row r="7">
      <c r="A7" s="28" t="s">
        <v>71</v>
      </c>
      <c r="B7" s="92">
        <v>572.0</v>
      </c>
      <c r="C7" s="92">
        <v>698.0</v>
      </c>
      <c r="D7" s="92">
        <v>324.0</v>
      </c>
      <c r="E7" s="92">
        <v>2849.0</v>
      </c>
      <c r="F7" s="92">
        <v>326.0</v>
      </c>
      <c r="G7" s="92">
        <v>2494.0</v>
      </c>
      <c r="H7" s="92">
        <v>2315.0</v>
      </c>
      <c r="I7" s="92">
        <v>113.0</v>
      </c>
      <c r="J7" s="92">
        <v>5681.0</v>
      </c>
      <c r="K7" s="92">
        <v>2972.0</v>
      </c>
      <c r="L7" s="92">
        <v>4340.0</v>
      </c>
      <c r="M7" s="93">
        <v>389.0</v>
      </c>
    </row>
    <row r="8">
      <c r="A8" s="28" t="s">
        <v>72</v>
      </c>
      <c r="B8" s="57">
        <v>111.0</v>
      </c>
      <c r="C8" s="57">
        <v>159.0</v>
      </c>
      <c r="D8" s="57">
        <v>205.0</v>
      </c>
      <c r="E8" s="57">
        <v>746.0</v>
      </c>
      <c r="F8" s="57">
        <v>2059.0</v>
      </c>
      <c r="G8" s="57">
        <v>1530.0</v>
      </c>
      <c r="H8" s="57"/>
      <c r="I8" s="57">
        <v>22.0</v>
      </c>
      <c r="J8" s="57">
        <v>398.0</v>
      </c>
      <c r="K8" s="57">
        <v>13215.0</v>
      </c>
      <c r="L8" s="57"/>
      <c r="M8" s="89">
        <v>90.0</v>
      </c>
    </row>
    <row r="9">
      <c r="A9" s="28" t="s">
        <v>73</v>
      </c>
      <c r="B9" s="94">
        <f t="shared" ref="B9:M9" si="1">SUM(B2:B8)</f>
        <v>11004</v>
      </c>
      <c r="C9" s="94">
        <f t="shared" si="1"/>
        <v>11322</v>
      </c>
      <c r="D9" s="94">
        <f t="shared" si="1"/>
        <v>944</v>
      </c>
      <c r="E9" s="94">
        <f t="shared" si="1"/>
        <v>14443</v>
      </c>
      <c r="F9" s="94">
        <f t="shared" si="1"/>
        <v>4295</v>
      </c>
      <c r="G9" s="94">
        <f t="shared" si="1"/>
        <v>8614</v>
      </c>
      <c r="H9" s="94">
        <f t="shared" si="1"/>
        <v>16882</v>
      </c>
      <c r="I9" s="94">
        <f t="shared" si="1"/>
        <v>10487</v>
      </c>
      <c r="J9" s="94">
        <f t="shared" si="1"/>
        <v>6631</v>
      </c>
      <c r="K9" s="94">
        <f t="shared" si="1"/>
        <v>16683</v>
      </c>
      <c r="L9" s="94">
        <f t="shared" si="1"/>
        <v>5093</v>
      </c>
      <c r="M9" s="24">
        <f t="shared" si="1"/>
        <v>967</v>
      </c>
    </row>
    <row r="10">
      <c r="A10" s="28" t="s">
        <v>74</v>
      </c>
      <c r="B10" s="24">
        <f t="shared" ref="B10:C10" si="2">B9/7</f>
        <v>1572</v>
      </c>
      <c r="C10" s="24">
        <f t="shared" si="2"/>
        <v>1617.428571</v>
      </c>
      <c r="D10" s="24">
        <f t="shared" ref="D10:F10" si="3">D9/6</f>
        <v>157.3333333</v>
      </c>
      <c r="E10" s="24">
        <f t="shared" si="3"/>
        <v>2407.166667</v>
      </c>
      <c r="F10" s="24">
        <f t="shared" si="3"/>
        <v>715.8333333</v>
      </c>
      <c r="G10" s="24">
        <f>G9/5</f>
        <v>1722.8</v>
      </c>
      <c r="H10" s="24">
        <f>H9/4</f>
        <v>4220.5</v>
      </c>
      <c r="I10" s="24">
        <f>I9/6</f>
        <v>1747.833333</v>
      </c>
      <c r="J10" s="24">
        <f>J9/5</f>
        <v>1326.2</v>
      </c>
      <c r="K10" s="24">
        <f>K9/4</f>
        <v>4170.75</v>
      </c>
      <c r="L10" s="24">
        <f>L9/3</f>
        <v>1697.666667</v>
      </c>
      <c r="M10" s="24">
        <f>M9/5</f>
        <v>193.4</v>
      </c>
    </row>
  </sheetData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</cols>
  <sheetData>
    <row r="1">
      <c r="A1" s="95" t="s">
        <v>75</v>
      </c>
      <c r="B1" s="95" t="s">
        <v>76</v>
      </c>
      <c r="C1" s="95" t="s">
        <v>26</v>
      </c>
    </row>
    <row r="2">
      <c r="A2" s="28">
        <v>1.0</v>
      </c>
      <c r="B2" s="28" t="s">
        <v>77</v>
      </c>
      <c r="C2" s="96">
        <v>764.0406570764309</v>
      </c>
    </row>
    <row r="3">
      <c r="A3" s="28">
        <v>2.0</v>
      </c>
      <c r="B3" s="28" t="s">
        <v>78</v>
      </c>
      <c r="C3" s="96">
        <v>713.963020733553</v>
      </c>
    </row>
    <row r="4">
      <c r="A4" s="28">
        <v>3.0</v>
      </c>
      <c r="B4" s="28" t="s">
        <v>79</v>
      </c>
      <c r="C4" s="96">
        <v>482.78065318969277</v>
      </c>
    </row>
    <row r="8">
      <c r="A8" s="63" t="s">
        <v>80</v>
      </c>
      <c r="B8" s="63" t="s">
        <v>81</v>
      </c>
    </row>
    <row r="9">
      <c r="A9" s="6" t="s">
        <v>2</v>
      </c>
      <c r="B9" s="21" t="s">
        <v>77</v>
      </c>
      <c r="C9" s="21"/>
      <c r="D9" s="21"/>
      <c r="E9" s="21"/>
    </row>
    <row r="10">
      <c r="A10" s="6" t="s">
        <v>3</v>
      </c>
      <c r="B10" s="21" t="s">
        <v>78</v>
      </c>
      <c r="C10" s="21"/>
      <c r="E10" s="21"/>
    </row>
    <row r="11">
      <c r="A11" s="6" t="s">
        <v>4</v>
      </c>
      <c r="B11" s="21" t="s">
        <v>78</v>
      </c>
      <c r="C11" s="21"/>
      <c r="E11" s="21"/>
    </row>
    <row r="12">
      <c r="A12" s="6" t="s">
        <v>56</v>
      </c>
      <c r="B12" s="21" t="s">
        <v>78</v>
      </c>
      <c r="C12" s="21"/>
      <c r="E12" s="21"/>
    </row>
    <row r="13">
      <c r="A13" s="6" t="s">
        <v>6</v>
      </c>
      <c r="B13" s="21" t="s">
        <v>78</v>
      </c>
      <c r="C13" s="21"/>
      <c r="E13" s="21"/>
    </row>
    <row r="14">
      <c r="A14" s="21" t="s">
        <v>7</v>
      </c>
      <c r="B14" s="21" t="s">
        <v>77</v>
      </c>
      <c r="C14" s="21"/>
      <c r="E14" s="21"/>
    </row>
    <row r="15">
      <c r="A15" s="6" t="s">
        <v>8</v>
      </c>
      <c r="B15" s="21" t="s">
        <v>77</v>
      </c>
      <c r="C15" s="21"/>
      <c r="E15" s="21"/>
    </row>
    <row r="16">
      <c r="A16" s="6" t="s">
        <v>9</v>
      </c>
      <c r="B16" s="21" t="s">
        <v>79</v>
      </c>
      <c r="C16" s="21"/>
      <c r="E16" s="21"/>
    </row>
    <row r="17">
      <c r="A17" s="6" t="s">
        <v>10</v>
      </c>
      <c r="B17" s="21" t="s">
        <v>77</v>
      </c>
      <c r="C17" s="21"/>
      <c r="E17" s="21"/>
    </row>
    <row r="18">
      <c r="A18" s="6" t="s">
        <v>11</v>
      </c>
      <c r="B18" s="21" t="s">
        <v>77</v>
      </c>
      <c r="C18" s="21"/>
      <c r="E18" s="21"/>
    </row>
    <row r="19">
      <c r="A19" s="6" t="s">
        <v>12</v>
      </c>
      <c r="B19" s="28" t="s">
        <v>82</v>
      </c>
    </row>
    <row r="20">
      <c r="A20" s="6" t="s">
        <v>13</v>
      </c>
      <c r="B20" s="28" t="s">
        <v>78</v>
      </c>
    </row>
  </sheetData>
  <drawing r:id="rId1"/>
</worksheet>
</file>